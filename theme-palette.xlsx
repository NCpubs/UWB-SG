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389e7e37096e780/Documents/Code/UWB SG/"/>
    </mc:Choice>
  </mc:AlternateContent>
  <xr:revisionPtr revIDLastSave="142" documentId="8_{22ABAF7F-8CE5-44AF-82A6-60B9ABDD8727}" xr6:coauthVersionLast="47" xr6:coauthVersionMax="47" xr10:uidLastSave="{22D2D28E-BC2F-4CAE-AAF6-31155C2B2F78}"/>
  <bookViews>
    <workbookView xWindow="4320" yWindow="4320" windowWidth="21600" windowHeight="11745" activeTab="2" xr2:uid="{6A378FFC-98D1-415F-91AA-C6D75EA3BB77}"/>
  </bookViews>
  <sheets>
    <sheet name="Style Palette" sheetId="1" r:id="rId1"/>
    <sheet name="CODE THEME" sheetId="3" r:id="rId2"/>
    <sheet name="CODE THEME (2.0)" sheetId="6" r:id="rId3"/>
    <sheet name="FAR TOC" sheetId="5" r:id="rId4"/>
    <sheet name="Test Ground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6" i="6" l="1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2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N26" i="6"/>
  <c r="O26" i="6"/>
  <c r="P26" i="6"/>
  <c r="N27" i="6"/>
  <c r="O27" i="6"/>
  <c r="P27" i="6"/>
  <c r="N28" i="6"/>
  <c r="O28" i="6"/>
  <c r="P28" i="6"/>
  <c r="N29" i="6"/>
  <c r="O29" i="6"/>
  <c r="P29" i="6"/>
  <c r="N30" i="6"/>
  <c r="O30" i="6"/>
  <c r="P30" i="6"/>
  <c r="N31" i="6"/>
  <c r="O31" i="6"/>
  <c r="P31" i="6"/>
  <c r="N32" i="6"/>
  <c r="O32" i="6"/>
  <c r="P32" i="6"/>
  <c r="N33" i="6"/>
  <c r="O33" i="6"/>
  <c r="P33" i="6"/>
  <c r="N34" i="6"/>
  <c r="O34" i="6"/>
  <c r="P34" i="6"/>
  <c r="N35" i="6"/>
  <c r="O35" i="6"/>
  <c r="P35" i="6"/>
  <c r="N36" i="6"/>
  <c r="O36" i="6"/>
  <c r="P36" i="6"/>
  <c r="N37" i="6"/>
  <c r="O37" i="6"/>
  <c r="P37" i="6"/>
  <c r="N38" i="6"/>
  <c r="O38" i="6"/>
  <c r="P38" i="6"/>
  <c r="N39" i="6"/>
  <c r="O39" i="6"/>
  <c r="P39" i="6"/>
  <c r="N40" i="6"/>
  <c r="O40" i="6"/>
  <c r="P40" i="6"/>
  <c r="N41" i="6"/>
  <c r="O41" i="6"/>
  <c r="P41" i="6"/>
  <c r="N42" i="6"/>
  <c r="O42" i="6"/>
  <c r="P42" i="6"/>
  <c r="N43" i="6"/>
  <c r="O43" i="6"/>
  <c r="P43" i="6"/>
  <c r="N44" i="6"/>
  <c r="O44" i="6"/>
  <c r="P44" i="6"/>
  <c r="N45" i="6"/>
  <c r="O45" i="6"/>
  <c r="P45" i="6"/>
  <c r="N46" i="6"/>
  <c r="O46" i="6"/>
  <c r="P46" i="6"/>
  <c r="N47" i="6"/>
  <c r="O47" i="6"/>
  <c r="P47" i="6"/>
  <c r="N48" i="6"/>
  <c r="O48" i="6"/>
  <c r="P48" i="6"/>
  <c r="N49" i="6"/>
  <c r="O49" i="6"/>
  <c r="P49" i="6"/>
  <c r="N50" i="6"/>
  <c r="O50" i="6"/>
  <c r="P50" i="6"/>
  <c r="N51" i="6"/>
  <c r="O51" i="6"/>
  <c r="P51" i="6"/>
  <c r="N52" i="6"/>
  <c r="O52" i="6"/>
  <c r="P52" i="6"/>
  <c r="N53" i="6"/>
  <c r="O53" i="6"/>
  <c r="P53" i="6"/>
  <c r="N54" i="6"/>
  <c r="O54" i="6"/>
  <c r="P54" i="6"/>
  <c r="N55" i="6"/>
  <c r="O55" i="6"/>
  <c r="P55" i="6"/>
  <c r="N56" i="6"/>
  <c r="O56" i="6"/>
  <c r="P56" i="6"/>
  <c r="N57" i="6"/>
  <c r="O57" i="6"/>
  <c r="P57" i="6"/>
  <c r="N58" i="6"/>
  <c r="O58" i="6"/>
  <c r="P58" i="6"/>
  <c r="N59" i="6"/>
  <c r="O59" i="6"/>
  <c r="P59" i="6"/>
  <c r="N60" i="6"/>
  <c r="O60" i="6"/>
  <c r="P60" i="6"/>
  <c r="N61" i="6"/>
  <c r="O61" i="6"/>
  <c r="P61" i="6"/>
  <c r="N62" i="6"/>
  <c r="O62" i="6"/>
  <c r="P62" i="6"/>
  <c r="N63" i="6"/>
  <c r="O63" i="6"/>
  <c r="P63" i="6"/>
  <c r="N64" i="6"/>
  <c r="O64" i="6"/>
  <c r="P64" i="6"/>
  <c r="N65" i="6"/>
  <c r="O65" i="6"/>
  <c r="P65" i="6"/>
  <c r="N66" i="6"/>
  <c r="O66" i="6"/>
  <c r="P66" i="6"/>
  <c r="N67" i="6"/>
  <c r="O67" i="6"/>
  <c r="P67" i="6"/>
  <c r="N68" i="6"/>
  <c r="O68" i="6"/>
  <c r="P68" i="6"/>
  <c r="N69" i="6"/>
  <c r="O69" i="6"/>
  <c r="P69" i="6"/>
  <c r="N70" i="6"/>
  <c r="O70" i="6"/>
  <c r="P70" i="6"/>
  <c r="N71" i="6"/>
  <c r="O71" i="6"/>
  <c r="P71" i="6"/>
  <c r="N72" i="6"/>
  <c r="O72" i="6"/>
  <c r="P72" i="6"/>
  <c r="N73" i="6"/>
  <c r="O73" i="6"/>
  <c r="P73" i="6"/>
  <c r="N74" i="6"/>
  <c r="O74" i="6"/>
  <c r="P74" i="6"/>
  <c r="N75" i="6"/>
  <c r="O75" i="6"/>
  <c r="P75" i="6"/>
  <c r="N76" i="6"/>
  <c r="O76" i="6"/>
  <c r="P76" i="6"/>
  <c r="N77" i="6"/>
  <c r="O77" i="6"/>
  <c r="P77" i="6"/>
  <c r="N78" i="6"/>
  <c r="O78" i="6"/>
  <c r="P78" i="6"/>
  <c r="N79" i="6"/>
  <c r="O79" i="6"/>
  <c r="P79" i="6"/>
  <c r="N80" i="6"/>
  <c r="O80" i="6"/>
  <c r="P80" i="6"/>
  <c r="N81" i="6"/>
  <c r="O81" i="6"/>
  <c r="P81" i="6"/>
  <c r="N82" i="6"/>
  <c r="O82" i="6"/>
  <c r="P82" i="6"/>
  <c r="N83" i="6"/>
  <c r="O83" i="6"/>
  <c r="P83" i="6"/>
  <c r="N84" i="6"/>
  <c r="O84" i="6"/>
  <c r="P84" i="6"/>
  <c r="N85" i="6"/>
  <c r="O85" i="6"/>
  <c r="P85" i="6"/>
  <c r="N86" i="6"/>
  <c r="O86" i="6"/>
  <c r="P86" i="6"/>
  <c r="N87" i="6"/>
  <c r="O87" i="6"/>
  <c r="P87" i="6"/>
  <c r="N88" i="6"/>
  <c r="O88" i="6"/>
  <c r="P88" i="6"/>
  <c r="N89" i="6"/>
  <c r="O89" i="6"/>
  <c r="P89" i="6"/>
  <c r="N90" i="6"/>
  <c r="O90" i="6"/>
  <c r="P90" i="6"/>
  <c r="N91" i="6"/>
  <c r="O91" i="6"/>
  <c r="P91" i="6"/>
  <c r="N92" i="6"/>
  <c r="O92" i="6"/>
  <c r="P92" i="6"/>
  <c r="N93" i="6"/>
  <c r="O93" i="6"/>
  <c r="P93" i="6"/>
  <c r="N94" i="6"/>
  <c r="O94" i="6"/>
  <c r="P94" i="6"/>
  <c r="N95" i="6"/>
  <c r="O95" i="6"/>
  <c r="P95" i="6"/>
  <c r="N96" i="6"/>
  <c r="O96" i="6"/>
  <c r="P96" i="6"/>
  <c r="N97" i="6"/>
  <c r="O97" i="6"/>
  <c r="P97" i="6"/>
  <c r="N98" i="6"/>
  <c r="O98" i="6"/>
  <c r="P98" i="6"/>
  <c r="N99" i="6"/>
  <c r="O99" i="6"/>
  <c r="P99" i="6"/>
  <c r="N100" i="6"/>
  <c r="O100" i="6"/>
  <c r="P100" i="6"/>
  <c r="N101" i="6"/>
  <c r="O101" i="6"/>
  <c r="P101" i="6"/>
  <c r="N102" i="6"/>
  <c r="O102" i="6"/>
  <c r="P102" i="6"/>
  <c r="N103" i="6"/>
  <c r="O103" i="6"/>
  <c r="P103" i="6"/>
  <c r="N104" i="6"/>
  <c r="O104" i="6"/>
  <c r="P104" i="6"/>
  <c r="N105" i="6"/>
  <c r="O105" i="6"/>
  <c r="P105" i="6"/>
  <c r="N106" i="6"/>
  <c r="O106" i="6"/>
  <c r="P106" i="6"/>
  <c r="N107" i="6"/>
  <c r="O107" i="6"/>
  <c r="P107" i="6"/>
  <c r="N108" i="6"/>
  <c r="O108" i="6"/>
  <c r="P108" i="6"/>
  <c r="N109" i="6"/>
  <c r="O109" i="6"/>
  <c r="P109" i="6"/>
  <c r="N110" i="6"/>
  <c r="O110" i="6"/>
  <c r="P110" i="6"/>
  <c r="N111" i="6"/>
  <c r="O111" i="6"/>
  <c r="P111" i="6"/>
  <c r="N112" i="6"/>
  <c r="O112" i="6"/>
  <c r="P112" i="6"/>
  <c r="N113" i="6"/>
  <c r="O113" i="6"/>
  <c r="P113" i="6"/>
  <c r="N114" i="6"/>
  <c r="O114" i="6"/>
  <c r="P114" i="6"/>
  <c r="N115" i="6"/>
  <c r="O115" i="6"/>
  <c r="P115" i="6"/>
  <c r="N116" i="6"/>
  <c r="O116" i="6"/>
  <c r="P116" i="6"/>
  <c r="N117" i="6"/>
  <c r="O117" i="6"/>
  <c r="P117" i="6"/>
  <c r="N118" i="6"/>
  <c r="O118" i="6"/>
  <c r="P118" i="6"/>
  <c r="N119" i="6"/>
  <c r="O119" i="6"/>
  <c r="P119" i="6"/>
  <c r="N120" i="6"/>
  <c r="O120" i="6"/>
  <c r="P120" i="6"/>
  <c r="N121" i="6"/>
  <c r="O121" i="6"/>
  <c r="P121" i="6"/>
  <c r="N122" i="6"/>
  <c r="O122" i="6"/>
  <c r="P122" i="6"/>
  <c r="N123" i="6"/>
  <c r="O123" i="6"/>
  <c r="P123" i="6"/>
  <c r="N124" i="6"/>
  <c r="O124" i="6"/>
  <c r="P124" i="6"/>
  <c r="N125" i="6"/>
  <c r="O125" i="6"/>
  <c r="P125" i="6"/>
  <c r="N126" i="6"/>
  <c r="O126" i="6"/>
  <c r="P126" i="6"/>
  <c r="N127" i="6"/>
  <c r="O127" i="6"/>
  <c r="P127" i="6"/>
  <c r="N128" i="6"/>
  <c r="O128" i="6"/>
  <c r="P128" i="6"/>
  <c r="N129" i="6"/>
  <c r="O129" i="6"/>
  <c r="P129" i="6"/>
  <c r="N130" i="6"/>
  <c r="O130" i="6"/>
  <c r="P130" i="6"/>
  <c r="N131" i="6"/>
  <c r="O131" i="6"/>
  <c r="P131" i="6"/>
  <c r="N132" i="6"/>
  <c r="O132" i="6"/>
  <c r="P132" i="6"/>
  <c r="N133" i="6"/>
  <c r="O133" i="6"/>
  <c r="P133" i="6"/>
  <c r="N134" i="6"/>
  <c r="O134" i="6"/>
  <c r="P134" i="6"/>
  <c r="N135" i="6"/>
  <c r="O135" i="6"/>
  <c r="P135" i="6"/>
  <c r="N136" i="6"/>
  <c r="O136" i="6"/>
  <c r="P136" i="6"/>
  <c r="N137" i="6"/>
  <c r="O137" i="6"/>
  <c r="P137" i="6"/>
  <c r="N138" i="6"/>
  <c r="O138" i="6"/>
  <c r="P138" i="6"/>
  <c r="N139" i="6"/>
  <c r="O139" i="6"/>
  <c r="P139" i="6"/>
  <c r="N140" i="6"/>
  <c r="O140" i="6"/>
  <c r="P140" i="6"/>
  <c r="N141" i="6"/>
  <c r="O141" i="6"/>
  <c r="P141" i="6"/>
  <c r="N142" i="6"/>
  <c r="O142" i="6"/>
  <c r="P142" i="6"/>
  <c r="N143" i="6"/>
  <c r="O143" i="6"/>
  <c r="P143" i="6"/>
  <c r="N144" i="6"/>
  <c r="O144" i="6"/>
  <c r="P144" i="6"/>
  <c r="N145" i="6"/>
  <c r="O145" i="6"/>
  <c r="P145" i="6"/>
  <c r="N146" i="6"/>
  <c r="O146" i="6"/>
  <c r="P146" i="6"/>
  <c r="N147" i="6"/>
  <c r="O147" i="6"/>
  <c r="P147" i="6"/>
  <c r="N148" i="6"/>
  <c r="O148" i="6"/>
  <c r="P148" i="6"/>
  <c r="N149" i="6"/>
  <c r="O149" i="6"/>
  <c r="P149" i="6"/>
  <c r="N150" i="6"/>
  <c r="O150" i="6"/>
  <c r="P150" i="6"/>
  <c r="N151" i="6"/>
  <c r="O151" i="6"/>
  <c r="P151" i="6"/>
  <c r="N152" i="6"/>
  <c r="O152" i="6"/>
  <c r="P152" i="6"/>
  <c r="N153" i="6"/>
  <c r="O153" i="6"/>
  <c r="P153" i="6"/>
  <c r="N154" i="6"/>
  <c r="O154" i="6"/>
  <c r="P154" i="6"/>
  <c r="N155" i="6"/>
  <c r="O155" i="6"/>
  <c r="P155" i="6"/>
  <c r="N156" i="6"/>
  <c r="O156" i="6"/>
  <c r="P156" i="6"/>
  <c r="N157" i="6"/>
  <c r="O157" i="6"/>
  <c r="P157" i="6"/>
  <c r="N158" i="6"/>
  <c r="O158" i="6"/>
  <c r="P158" i="6"/>
  <c r="N159" i="6"/>
  <c r="O159" i="6"/>
  <c r="P159" i="6"/>
  <c r="N160" i="6"/>
  <c r="O160" i="6"/>
  <c r="P160" i="6"/>
  <c r="N161" i="6"/>
  <c r="O161" i="6"/>
  <c r="P161" i="6"/>
  <c r="N162" i="6"/>
  <c r="O162" i="6"/>
  <c r="P162" i="6"/>
  <c r="N163" i="6"/>
  <c r="O163" i="6"/>
  <c r="P163" i="6"/>
  <c r="N164" i="6"/>
  <c r="O164" i="6"/>
  <c r="P164" i="6"/>
  <c r="N165" i="6"/>
  <c r="O165" i="6"/>
  <c r="P165" i="6"/>
  <c r="N166" i="6"/>
  <c r="O166" i="6"/>
  <c r="P166" i="6"/>
  <c r="N167" i="6"/>
  <c r="O167" i="6"/>
  <c r="P167" i="6"/>
  <c r="N168" i="6"/>
  <c r="O168" i="6"/>
  <c r="P168" i="6"/>
  <c r="N169" i="6"/>
  <c r="O169" i="6"/>
  <c r="P169" i="6"/>
  <c r="N170" i="6"/>
  <c r="O170" i="6"/>
  <c r="P170" i="6"/>
  <c r="N171" i="6"/>
  <c r="O171" i="6"/>
  <c r="P171" i="6"/>
  <c r="N172" i="6"/>
  <c r="O172" i="6"/>
  <c r="P172" i="6"/>
  <c r="N173" i="6"/>
  <c r="O173" i="6"/>
  <c r="P173" i="6"/>
  <c r="N174" i="6"/>
  <c r="O174" i="6"/>
  <c r="P174" i="6"/>
  <c r="N175" i="6"/>
  <c r="O175" i="6"/>
  <c r="P175" i="6"/>
  <c r="N176" i="6"/>
  <c r="O176" i="6"/>
  <c r="P176" i="6"/>
  <c r="N177" i="6"/>
  <c r="O177" i="6"/>
  <c r="P177" i="6"/>
  <c r="N178" i="6"/>
  <c r="O178" i="6"/>
  <c r="P178" i="6"/>
  <c r="N179" i="6"/>
  <c r="O179" i="6"/>
  <c r="P179" i="6"/>
  <c r="N180" i="6"/>
  <c r="O180" i="6"/>
  <c r="P180" i="6"/>
  <c r="N181" i="6"/>
  <c r="O181" i="6"/>
  <c r="P181" i="6"/>
  <c r="N182" i="6"/>
  <c r="O182" i="6"/>
  <c r="P182" i="6"/>
  <c r="N183" i="6"/>
  <c r="O183" i="6"/>
  <c r="P183" i="6"/>
  <c r="N184" i="6"/>
  <c r="O184" i="6"/>
  <c r="P184" i="6"/>
  <c r="N185" i="6"/>
  <c r="O185" i="6"/>
  <c r="P185" i="6"/>
  <c r="N186" i="6"/>
  <c r="O186" i="6"/>
  <c r="P186" i="6"/>
  <c r="O25" i="6"/>
  <c r="P25" i="6"/>
  <c r="N25" i="6"/>
  <c r="M25" i="6"/>
  <c r="L35" i="6"/>
  <c r="L44" i="6" s="1"/>
  <c r="L53" i="6" s="1"/>
  <c r="L62" i="6" s="1"/>
  <c r="L71" i="6" s="1"/>
  <c r="L80" i="6" s="1"/>
  <c r="L89" i="6" s="1"/>
  <c r="L98" i="6" s="1"/>
  <c r="L107" i="6" s="1"/>
  <c r="L116" i="6" s="1"/>
  <c r="L125" i="6" s="1"/>
  <c r="L134" i="6" s="1"/>
  <c r="L143" i="6" s="1"/>
  <c r="L152" i="6" s="1"/>
  <c r="L161" i="6" s="1"/>
  <c r="L170" i="6" s="1"/>
  <c r="L179" i="6" s="1"/>
  <c r="L36" i="6"/>
  <c r="L45" i="6" s="1"/>
  <c r="L54" i="6" s="1"/>
  <c r="L63" i="6" s="1"/>
  <c r="L72" i="6" s="1"/>
  <c r="L81" i="6" s="1"/>
  <c r="L90" i="6" s="1"/>
  <c r="L99" i="6" s="1"/>
  <c r="L108" i="6" s="1"/>
  <c r="L117" i="6" s="1"/>
  <c r="L126" i="6" s="1"/>
  <c r="L135" i="6" s="1"/>
  <c r="L144" i="6" s="1"/>
  <c r="L153" i="6" s="1"/>
  <c r="L162" i="6" s="1"/>
  <c r="L171" i="6" s="1"/>
  <c r="L180" i="6" s="1"/>
  <c r="L37" i="6"/>
  <c r="L46" i="6" s="1"/>
  <c r="L55" i="6" s="1"/>
  <c r="L64" i="6" s="1"/>
  <c r="L73" i="6" s="1"/>
  <c r="L82" i="6" s="1"/>
  <c r="L91" i="6" s="1"/>
  <c r="L100" i="6" s="1"/>
  <c r="L109" i="6" s="1"/>
  <c r="L118" i="6" s="1"/>
  <c r="L127" i="6" s="1"/>
  <c r="L136" i="6" s="1"/>
  <c r="L145" i="6" s="1"/>
  <c r="L154" i="6" s="1"/>
  <c r="L163" i="6" s="1"/>
  <c r="L172" i="6" s="1"/>
  <c r="L181" i="6" s="1"/>
  <c r="L38" i="6"/>
  <c r="L47" i="6" s="1"/>
  <c r="L56" i="6" s="1"/>
  <c r="L65" i="6" s="1"/>
  <c r="L74" i="6" s="1"/>
  <c r="L83" i="6" s="1"/>
  <c r="L92" i="6" s="1"/>
  <c r="L101" i="6" s="1"/>
  <c r="L110" i="6" s="1"/>
  <c r="L119" i="6" s="1"/>
  <c r="L128" i="6" s="1"/>
  <c r="L137" i="6" s="1"/>
  <c r="L146" i="6" s="1"/>
  <c r="L155" i="6" s="1"/>
  <c r="L164" i="6" s="1"/>
  <c r="L173" i="6" s="1"/>
  <c r="L182" i="6" s="1"/>
  <c r="L39" i="6"/>
  <c r="L48" i="6" s="1"/>
  <c r="L57" i="6" s="1"/>
  <c r="L66" i="6" s="1"/>
  <c r="L75" i="6" s="1"/>
  <c r="L84" i="6" s="1"/>
  <c r="L93" i="6" s="1"/>
  <c r="L102" i="6" s="1"/>
  <c r="L111" i="6" s="1"/>
  <c r="L120" i="6" s="1"/>
  <c r="L129" i="6" s="1"/>
  <c r="L138" i="6" s="1"/>
  <c r="L147" i="6" s="1"/>
  <c r="L156" i="6" s="1"/>
  <c r="L165" i="6" s="1"/>
  <c r="L174" i="6" s="1"/>
  <c r="L183" i="6" s="1"/>
  <c r="L40" i="6"/>
  <c r="L49" i="6" s="1"/>
  <c r="L58" i="6" s="1"/>
  <c r="L67" i="6" s="1"/>
  <c r="L76" i="6" s="1"/>
  <c r="L85" i="6" s="1"/>
  <c r="L94" i="6" s="1"/>
  <c r="L103" i="6" s="1"/>
  <c r="L112" i="6" s="1"/>
  <c r="L121" i="6" s="1"/>
  <c r="L130" i="6" s="1"/>
  <c r="L139" i="6" s="1"/>
  <c r="L148" i="6" s="1"/>
  <c r="L157" i="6" s="1"/>
  <c r="L166" i="6" s="1"/>
  <c r="L175" i="6" s="1"/>
  <c r="L184" i="6" s="1"/>
  <c r="L41" i="6"/>
  <c r="L50" i="6" s="1"/>
  <c r="L59" i="6" s="1"/>
  <c r="L68" i="6" s="1"/>
  <c r="L77" i="6" s="1"/>
  <c r="L86" i="6" s="1"/>
  <c r="L95" i="6" s="1"/>
  <c r="L104" i="6" s="1"/>
  <c r="L113" i="6" s="1"/>
  <c r="L122" i="6" s="1"/>
  <c r="L131" i="6" s="1"/>
  <c r="L140" i="6" s="1"/>
  <c r="L149" i="6" s="1"/>
  <c r="L158" i="6" s="1"/>
  <c r="L167" i="6" s="1"/>
  <c r="L176" i="6" s="1"/>
  <c r="L185" i="6" s="1"/>
  <c r="L42" i="6"/>
  <c r="L51" i="6" s="1"/>
  <c r="L60" i="6" s="1"/>
  <c r="L69" i="6" s="1"/>
  <c r="L78" i="6" s="1"/>
  <c r="L87" i="6" s="1"/>
  <c r="L96" i="6" s="1"/>
  <c r="L105" i="6" s="1"/>
  <c r="L114" i="6" s="1"/>
  <c r="L123" i="6" s="1"/>
  <c r="L132" i="6" s="1"/>
  <c r="L141" i="6" s="1"/>
  <c r="L150" i="6" s="1"/>
  <c r="L159" i="6" s="1"/>
  <c r="L168" i="6" s="1"/>
  <c r="L177" i="6" s="1"/>
  <c r="L186" i="6" s="1"/>
  <c r="L43" i="6"/>
  <c r="L52" i="6" s="1"/>
  <c r="L61" i="6" s="1"/>
  <c r="L70" i="6" s="1"/>
  <c r="L79" i="6" s="1"/>
  <c r="L88" i="6" s="1"/>
  <c r="L97" i="6" s="1"/>
  <c r="L106" i="6" s="1"/>
  <c r="L115" i="6" s="1"/>
  <c r="L124" i="6" s="1"/>
  <c r="L133" i="6" s="1"/>
  <c r="L142" i="6" s="1"/>
  <c r="L151" i="6" s="1"/>
  <c r="L160" i="6" s="1"/>
  <c r="L169" i="6" s="1"/>
  <c r="L178" i="6" s="1"/>
  <c r="L34" i="6"/>
  <c r="J167" i="6"/>
  <c r="I167" i="6"/>
  <c r="J166" i="6"/>
  <c r="I166" i="6"/>
  <c r="J165" i="6"/>
  <c r="I165" i="6"/>
  <c r="J164" i="6"/>
  <c r="I164" i="6"/>
  <c r="E164" i="6"/>
  <c r="E167" i="6" s="1"/>
  <c r="D164" i="6"/>
  <c r="D167" i="6" s="1"/>
  <c r="C164" i="6"/>
  <c r="C167" i="6" s="1"/>
  <c r="J163" i="6"/>
  <c r="I163" i="6"/>
  <c r="J162" i="6"/>
  <c r="I162" i="6"/>
  <c r="J161" i="6"/>
  <c r="I161" i="6"/>
  <c r="J159" i="6"/>
  <c r="I159" i="6"/>
  <c r="J158" i="6"/>
  <c r="I158" i="6"/>
  <c r="J157" i="6"/>
  <c r="I157" i="6"/>
  <c r="J156" i="6"/>
  <c r="I156" i="6"/>
  <c r="E156" i="6"/>
  <c r="E159" i="6" s="1"/>
  <c r="D156" i="6"/>
  <c r="D159" i="6" s="1"/>
  <c r="C156" i="6"/>
  <c r="C159" i="6" s="1"/>
  <c r="J155" i="6"/>
  <c r="I155" i="6"/>
  <c r="J154" i="6"/>
  <c r="I154" i="6"/>
  <c r="J153" i="6"/>
  <c r="I153" i="6"/>
  <c r="J151" i="6"/>
  <c r="I151" i="6"/>
  <c r="J150" i="6"/>
  <c r="I150" i="6"/>
  <c r="J149" i="6"/>
  <c r="I149" i="6"/>
  <c r="J148" i="6"/>
  <c r="I148" i="6"/>
  <c r="E148" i="6"/>
  <c r="E147" i="6" s="1"/>
  <c r="D148" i="6"/>
  <c r="D147" i="6" s="1"/>
  <c r="C148" i="6"/>
  <c r="C151" i="6" s="1"/>
  <c r="J147" i="6"/>
  <c r="I147" i="6"/>
  <c r="J146" i="6"/>
  <c r="I146" i="6"/>
  <c r="J145" i="6"/>
  <c r="I145" i="6"/>
  <c r="J143" i="6"/>
  <c r="I143" i="6"/>
  <c r="J142" i="6"/>
  <c r="I142" i="6"/>
  <c r="J141" i="6"/>
  <c r="I141" i="6"/>
  <c r="J140" i="6"/>
  <c r="I140" i="6"/>
  <c r="E140" i="6"/>
  <c r="E142" i="6" s="1"/>
  <c r="D140" i="6"/>
  <c r="D142" i="6" s="1"/>
  <c r="C140" i="6"/>
  <c r="C139" i="6" s="1"/>
  <c r="J139" i="6"/>
  <c r="I139" i="6"/>
  <c r="J138" i="6"/>
  <c r="I138" i="6"/>
  <c r="J137" i="6"/>
  <c r="I137" i="6"/>
  <c r="J135" i="6"/>
  <c r="I135" i="6"/>
  <c r="J134" i="6"/>
  <c r="I134" i="6"/>
  <c r="J133" i="6"/>
  <c r="I133" i="6"/>
  <c r="J132" i="6"/>
  <c r="I132" i="6"/>
  <c r="E132" i="6"/>
  <c r="E133" i="6" s="1"/>
  <c r="D132" i="6"/>
  <c r="D134" i="6" s="1"/>
  <c r="C132" i="6"/>
  <c r="C134" i="6" s="1"/>
  <c r="J131" i="6"/>
  <c r="I131" i="6"/>
  <c r="J130" i="6"/>
  <c r="I130" i="6"/>
  <c r="J129" i="6"/>
  <c r="I129" i="6"/>
  <c r="J127" i="6"/>
  <c r="I127" i="6"/>
  <c r="J126" i="6"/>
  <c r="I126" i="6"/>
  <c r="J125" i="6"/>
  <c r="I125" i="6"/>
  <c r="J124" i="6"/>
  <c r="I124" i="6"/>
  <c r="E124" i="6"/>
  <c r="E122" i="6" s="1"/>
  <c r="D124" i="6"/>
  <c r="D122" i="6" s="1"/>
  <c r="C124" i="6"/>
  <c r="C127" i="6" s="1"/>
  <c r="J123" i="6"/>
  <c r="I123" i="6"/>
  <c r="J122" i="6"/>
  <c r="I122" i="6"/>
  <c r="J121" i="6"/>
  <c r="I121" i="6"/>
  <c r="J119" i="6"/>
  <c r="I119" i="6"/>
  <c r="J118" i="6"/>
  <c r="I118" i="6"/>
  <c r="J117" i="6"/>
  <c r="I117" i="6"/>
  <c r="J116" i="6"/>
  <c r="I116" i="6"/>
  <c r="E116" i="6"/>
  <c r="E117" i="6" s="1"/>
  <c r="D116" i="6"/>
  <c r="D117" i="6" s="1"/>
  <c r="C116" i="6"/>
  <c r="C114" i="6" s="1"/>
  <c r="J115" i="6"/>
  <c r="I115" i="6"/>
  <c r="J114" i="6"/>
  <c r="I114" i="6"/>
  <c r="J113" i="6"/>
  <c r="I113" i="6"/>
  <c r="J111" i="6"/>
  <c r="I111" i="6"/>
  <c r="J110" i="6"/>
  <c r="I110" i="6"/>
  <c r="J109" i="6"/>
  <c r="I109" i="6"/>
  <c r="J108" i="6"/>
  <c r="I108" i="6"/>
  <c r="E108" i="6"/>
  <c r="E105" i="6" s="1"/>
  <c r="D108" i="6"/>
  <c r="D107" i="6" s="1"/>
  <c r="C108" i="6"/>
  <c r="C109" i="6" s="1"/>
  <c r="J107" i="6"/>
  <c r="I107" i="6"/>
  <c r="J106" i="6"/>
  <c r="I106" i="6"/>
  <c r="J105" i="6"/>
  <c r="I105" i="6"/>
  <c r="J103" i="6"/>
  <c r="I103" i="6"/>
  <c r="J102" i="6"/>
  <c r="I102" i="6"/>
  <c r="J101" i="6"/>
  <c r="I101" i="6"/>
  <c r="J100" i="6"/>
  <c r="I100" i="6"/>
  <c r="E100" i="6"/>
  <c r="E97" i="6" s="1"/>
  <c r="D100" i="6"/>
  <c r="D102" i="6" s="1"/>
  <c r="C100" i="6"/>
  <c r="C97" i="6" s="1"/>
  <c r="J99" i="6"/>
  <c r="I99" i="6"/>
  <c r="J98" i="6"/>
  <c r="I98" i="6"/>
  <c r="J97" i="6"/>
  <c r="I97" i="6"/>
  <c r="J95" i="6"/>
  <c r="I95" i="6"/>
  <c r="J94" i="6"/>
  <c r="I94" i="6"/>
  <c r="J93" i="6"/>
  <c r="I93" i="6"/>
  <c r="J92" i="6"/>
  <c r="I92" i="6"/>
  <c r="E92" i="6"/>
  <c r="E95" i="6" s="1"/>
  <c r="D92" i="6"/>
  <c r="D93" i="6" s="1"/>
  <c r="C92" i="6"/>
  <c r="C89" i="6" s="1"/>
  <c r="J91" i="6"/>
  <c r="I91" i="6"/>
  <c r="J90" i="6"/>
  <c r="I90" i="6"/>
  <c r="J89" i="6"/>
  <c r="I89" i="6"/>
  <c r="J87" i="6"/>
  <c r="I87" i="6"/>
  <c r="J86" i="6"/>
  <c r="I86" i="6"/>
  <c r="J85" i="6"/>
  <c r="I85" i="6"/>
  <c r="J84" i="6"/>
  <c r="I84" i="6"/>
  <c r="E84" i="6"/>
  <c r="E83" i="6" s="1"/>
  <c r="D84" i="6"/>
  <c r="D87" i="6" s="1"/>
  <c r="C84" i="6"/>
  <c r="C87" i="6" s="1"/>
  <c r="J83" i="6"/>
  <c r="I83" i="6"/>
  <c r="J82" i="6"/>
  <c r="I82" i="6"/>
  <c r="J81" i="6"/>
  <c r="I81" i="6"/>
  <c r="J79" i="6"/>
  <c r="I79" i="6"/>
  <c r="J78" i="6"/>
  <c r="I78" i="6"/>
  <c r="J77" i="6"/>
  <c r="I77" i="6"/>
  <c r="J76" i="6"/>
  <c r="I76" i="6"/>
  <c r="E76" i="6"/>
  <c r="E79" i="6" s="1"/>
  <c r="D76" i="6"/>
  <c r="D79" i="6" s="1"/>
  <c r="C76" i="6"/>
  <c r="C75" i="6" s="1"/>
  <c r="J75" i="6"/>
  <c r="I75" i="6"/>
  <c r="J74" i="6"/>
  <c r="I74" i="6"/>
  <c r="J73" i="6"/>
  <c r="I73" i="6"/>
  <c r="J71" i="6"/>
  <c r="I71" i="6"/>
  <c r="J70" i="6"/>
  <c r="I70" i="6"/>
  <c r="J69" i="6"/>
  <c r="I69" i="6"/>
  <c r="J68" i="6"/>
  <c r="I68" i="6"/>
  <c r="E68" i="6"/>
  <c r="E71" i="6" s="1"/>
  <c r="D68" i="6"/>
  <c r="D71" i="6" s="1"/>
  <c r="C68" i="6"/>
  <c r="C71" i="6" s="1"/>
  <c r="J67" i="6"/>
  <c r="I67" i="6"/>
  <c r="J66" i="6"/>
  <c r="I66" i="6"/>
  <c r="J65" i="6"/>
  <c r="I65" i="6"/>
  <c r="J63" i="6"/>
  <c r="I63" i="6"/>
  <c r="J62" i="6"/>
  <c r="I62" i="6"/>
  <c r="J61" i="6"/>
  <c r="I61" i="6"/>
  <c r="J60" i="6"/>
  <c r="I60" i="6"/>
  <c r="E60" i="6"/>
  <c r="E59" i="6" s="1"/>
  <c r="D60" i="6"/>
  <c r="D59" i="6" s="1"/>
  <c r="C60" i="6"/>
  <c r="C63" i="6" s="1"/>
  <c r="J59" i="6"/>
  <c r="I59" i="6"/>
  <c r="J58" i="6"/>
  <c r="I58" i="6"/>
  <c r="J57" i="6"/>
  <c r="I57" i="6"/>
  <c r="J55" i="6"/>
  <c r="I55" i="6"/>
  <c r="J54" i="6"/>
  <c r="I54" i="6"/>
  <c r="J53" i="6"/>
  <c r="I53" i="6"/>
  <c r="J52" i="6"/>
  <c r="I52" i="6"/>
  <c r="E52" i="6"/>
  <c r="E54" i="6" s="1"/>
  <c r="D52" i="6"/>
  <c r="D54" i="6" s="1"/>
  <c r="C52" i="6"/>
  <c r="C51" i="6" s="1"/>
  <c r="J51" i="6"/>
  <c r="I51" i="6"/>
  <c r="J50" i="6"/>
  <c r="I50" i="6"/>
  <c r="J49" i="6"/>
  <c r="I49" i="6"/>
  <c r="J47" i="6"/>
  <c r="I47" i="6"/>
  <c r="J46" i="6"/>
  <c r="I46" i="6"/>
  <c r="J45" i="6"/>
  <c r="I45" i="6"/>
  <c r="J44" i="6"/>
  <c r="I44" i="6"/>
  <c r="E44" i="6"/>
  <c r="E45" i="6" s="1"/>
  <c r="D44" i="6"/>
  <c r="D46" i="6" s="1"/>
  <c r="C44" i="6"/>
  <c r="C46" i="6" s="1"/>
  <c r="J43" i="6"/>
  <c r="I43" i="6"/>
  <c r="J42" i="6"/>
  <c r="I42" i="6"/>
  <c r="J41" i="6"/>
  <c r="I41" i="6"/>
  <c r="J39" i="6"/>
  <c r="I39" i="6"/>
  <c r="J38" i="6"/>
  <c r="I38" i="6"/>
  <c r="J37" i="6"/>
  <c r="I37" i="6"/>
  <c r="J36" i="6"/>
  <c r="I36" i="6"/>
  <c r="E36" i="6"/>
  <c r="E34" i="6" s="1"/>
  <c r="D36" i="6"/>
  <c r="D34" i="6" s="1"/>
  <c r="C36" i="6"/>
  <c r="C39" i="6" s="1"/>
  <c r="J35" i="6"/>
  <c r="I35" i="6"/>
  <c r="J34" i="6"/>
  <c r="I34" i="6"/>
  <c r="J33" i="6"/>
  <c r="I33" i="6"/>
  <c r="J31" i="6"/>
  <c r="I31" i="6"/>
  <c r="J30" i="6"/>
  <c r="I30" i="6"/>
  <c r="J29" i="6"/>
  <c r="I29" i="6"/>
  <c r="J28" i="6"/>
  <c r="I28" i="6"/>
  <c r="E28" i="6"/>
  <c r="E31" i="6" s="1"/>
  <c r="D28" i="6"/>
  <c r="D25" i="6" s="1"/>
  <c r="C28" i="6"/>
  <c r="C26" i="6" s="1"/>
  <c r="J27" i="6"/>
  <c r="I27" i="6"/>
  <c r="J26" i="6"/>
  <c r="I26" i="6"/>
  <c r="J25" i="6"/>
  <c r="I25" i="6"/>
  <c r="I21" i="6"/>
  <c r="H21" i="6"/>
  <c r="G21" i="6"/>
  <c r="I20" i="6"/>
  <c r="H20" i="6"/>
  <c r="G20" i="6"/>
  <c r="I19" i="6"/>
  <c r="H19" i="6"/>
  <c r="G19" i="6"/>
  <c r="I18" i="6"/>
  <c r="H18" i="6"/>
  <c r="G18" i="6"/>
  <c r="I17" i="6"/>
  <c r="H17" i="6"/>
  <c r="G17" i="6"/>
  <c r="I16" i="6"/>
  <c r="H16" i="6"/>
  <c r="G16" i="6"/>
  <c r="I15" i="6"/>
  <c r="H15" i="6"/>
  <c r="G15" i="6"/>
  <c r="I14" i="6"/>
  <c r="H14" i="6"/>
  <c r="G14" i="6"/>
  <c r="I13" i="6"/>
  <c r="H13" i="6"/>
  <c r="G13" i="6"/>
  <c r="I12" i="6"/>
  <c r="H12" i="6"/>
  <c r="G12" i="6"/>
  <c r="I11" i="6"/>
  <c r="H11" i="6"/>
  <c r="G11" i="6"/>
  <c r="I10" i="6"/>
  <c r="H10" i="6"/>
  <c r="G10" i="6"/>
  <c r="I9" i="6"/>
  <c r="H9" i="6"/>
  <c r="G9" i="6"/>
  <c r="I8" i="6"/>
  <c r="H8" i="6"/>
  <c r="G8" i="6"/>
  <c r="I7" i="6"/>
  <c r="H7" i="6"/>
  <c r="G7" i="6"/>
  <c r="I6" i="6"/>
  <c r="H6" i="6"/>
  <c r="G6" i="6"/>
  <c r="I5" i="6"/>
  <c r="H5" i="6"/>
  <c r="G5" i="6"/>
  <c r="I4" i="6"/>
  <c r="H4" i="6"/>
  <c r="G4" i="6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" i="5"/>
  <c r="E7" i="5"/>
  <c r="G7" i="5" s="1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" i="5"/>
  <c r="G6" i="5" s="1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6" i="3"/>
  <c r="J56" i="3"/>
  <c r="I57" i="3"/>
  <c r="J57" i="3"/>
  <c r="I58" i="3"/>
  <c r="J58" i="3"/>
  <c r="H59" i="3"/>
  <c r="I59" i="3"/>
  <c r="J59" i="3"/>
  <c r="I60" i="3"/>
  <c r="J60" i="3"/>
  <c r="I61" i="3"/>
  <c r="J61" i="3"/>
  <c r="I62" i="3"/>
  <c r="J62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2" i="3"/>
  <c r="J72" i="3"/>
  <c r="I73" i="3"/>
  <c r="J73" i="3"/>
  <c r="I74" i="3"/>
  <c r="J74" i="3"/>
  <c r="H75" i="3"/>
  <c r="I75" i="3"/>
  <c r="J75" i="3"/>
  <c r="I76" i="3"/>
  <c r="J76" i="3"/>
  <c r="I77" i="3"/>
  <c r="J77" i="3"/>
  <c r="H78" i="3"/>
  <c r="I78" i="3"/>
  <c r="J78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2" i="3"/>
  <c r="J112" i="3"/>
  <c r="I113" i="3"/>
  <c r="J113" i="3"/>
  <c r="I114" i="3"/>
  <c r="J114" i="3"/>
  <c r="H115" i="3"/>
  <c r="I115" i="3"/>
  <c r="J115" i="3"/>
  <c r="I116" i="3"/>
  <c r="J116" i="3"/>
  <c r="I117" i="3"/>
  <c r="J117" i="3"/>
  <c r="I118" i="3"/>
  <c r="J118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142" i="3"/>
  <c r="J142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I150" i="3"/>
  <c r="J150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I160" i="3"/>
  <c r="J160" i="3"/>
  <c r="I161" i="3"/>
  <c r="J161" i="3"/>
  <c r="I162" i="3"/>
  <c r="J162" i="3"/>
  <c r="I163" i="3"/>
  <c r="J163" i="3"/>
  <c r="I164" i="3"/>
  <c r="J164" i="3"/>
  <c r="I165" i="3"/>
  <c r="J165" i="3"/>
  <c r="I166" i="3"/>
  <c r="J166" i="3"/>
  <c r="J30" i="3"/>
  <c r="I30" i="3"/>
  <c r="J29" i="3"/>
  <c r="I29" i="3"/>
  <c r="J28" i="3"/>
  <c r="I28" i="3"/>
  <c r="J27" i="3"/>
  <c r="I27" i="3"/>
  <c r="J26" i="3"/>
  <c r="I26" i="3"/>
  <c r="J25" i="3"/>
  <c r="I25" i="3"/>
  <c r="I24" i="3"/>
  <c r="J24" i="3"/>
  <c r="C35" i="3"/>
  <c r="C32" i="3" s="1"/>
  <c r="D35" i="3"/>
  <c r="D32" i="3" s="1"/>
  <c r="E35" i="3"/>
  <c r="E37" i="3" s="1"/>
  <c r="C43" i="3"/>
  <c r="C45" i="3" s="1"/>
  <c r="D43" i="3"/>
  <c r="D41" i="3" s="1"/>
  <c r="E43" i="3"/>
  <c r="E44" i="3" s="1"/>
  <c r="C49" i="3"/>
  <c r="C51" i="3"/>
  <c r="C50" i="3" s="1"/>
  <c r="D51" i="3"/>
  <c r="D50" i="3" s="1"/>
  <c r="E51" i="3"/>
  <c r="E50" i="3" s="1"/>
  <c r="H50" i="3" s="1"/>
  <c r="D52" i="3"/>
  <c r="D56" i="3"/>
  <c r="C59" i="3"/>
  <c r="C62" i="3" s="1"/>
  <c r="D59" i="3"/>
  <c r="D62" i="3" s="1"/>
  <c r="E59" i="3"/>
  <c r="E56" i="3" s="1"/>
  <c r="C61" i="3"/>
  <c r="H61" i="3" s="1"/>
  <c r="D61" i="3"/>
  <c r="E61" i="3"/>
  <c r="C67" i="3"/>
  <c r="C68" i="3" s="1"/>
  <c r="H68" i="3" s="1"/>
  <c r="D67" i="3"/>
  <c r="D68" i="3" s="1"/>
  <c r="E67" i="3"/>
  <c r="E68" i="3" s="1"/>
  <c r="C72" i="3"/>
  <c r="C73" i="3"/>
  <c r="D73" i="3"/>
  <c r="C74" i="3"/>
  <c r="C75" i="3"/>
  <c r="C77" i="3" s="1"/>
  <c r="D75" i="3"/>
  <c r="D72" i="3" s="1"/>
  <c r="E75" i="3"/>
  <c r="E74" i="3" s="1"/>
  <c r="C76" i="3"/>
  <c r="E76" i="3"/>
  <c r="D77" i="3"/>
  <c r="C78" i="3"/>
  <c r="D78" i="3"/>
  <c r="E78" i="3"/>
  <c r="D80" i="3"/>
  <c r="E80" i="3"/>
  <c r="C83" i="3"/>
  <c r="C86" i="3" s="1"/>
  <c r="H86" i="3" s="1"/>
  <c r="D83" i="3"/>
  <c r="D86" i="3" s="1"/>
  <c r="E83" i="3"/>
  <c r="E86" i="3" s="1"/>
  <c r="D85" i="3"/>
  <c r="C89" i="3"/>
  <c r="C91" i="3"/>
  <c r="C88" i="3" s="1"/>
  <c r="D91" i="3"/>
  <c r="D93" i="3" s="1"/>
  <c r="E91" i="3"/>
  <c r="E92" i="3" s="1"/>
  <c r="C92" i="3"/>
  <c r="C96" i="3"/>
  <c r="C97" i="3"/>
  <c r="D97" i="3"/>
  <c r="C98" i="3"/>
  <c r="H98" i="3" s="1"/>
  <c r="D98" i="3"/>
  <c r="C99" i="3"/>
  <c r="H99" i="3" s="1"/>
  <c r="D99" i="3"/>
  <c r="D101" i="3" s="1"/>
  <c r="E99" i="3"/>
  <c r="E98" i="3" s="1"/>
  <c r="D100" i="3"/>
  <c r="C102" i="3"/>
  <c r="H102" i="3" s="1"/>
  <c r="D102" i="3"/>
  <c r="E102" i="3"/>
  <c r="C107" i="3"/>
  <c r="C105" i="3" s="1"/>
  <c r="D107" i="3"/>
  <c r="D105" i="3" s="1"/>
  <c r="E107" i="3"/>
  <c r="E110" i="3" s="1"/>
  <c r="D113" i="3"/>
  <c r="E113" i="3"/>
  <c r="C114" i="3"/>
  <c r="E114" i="3"/>
  <c r="C115" i="3"/>
  <c r="C112" i="3" s="1"/>
  <c r="H112" i="3" s="1"/>
  <c r="D115" i="3"/>
  <c r="D112" i="3" s="1"/>
  <c r="E115" i="3"/>
  <c r="E112" i="3" s="1"/>
  <c r="C116" i="3"/>
  <c r="H116" i="3" s="1"/>
  <c r="D116" i="3"/>
  <c r="E116" i="3"/>
  <c r="C120" i="3"/>
  <c r="H120" i="3" s="1"/>
  <c r="D120" i="3"/>
  <c r="E120" i="3"/>
  <c r="D121" i="3"/>
  <c r="E121" i="3"/>
  <c r="C122" i="3"/>
  <c r="E122" i="3"/>
  <c r="C123" i="3"/>
  <c r="C124" i="3" s="1"/>
  <c r="D123" i="3"/>
  <c r="D122" i="3" s="1"/>
  <c r="E123" i="3"/>
  <c r="E124" i="3" s="1"/>
  <c r="D124" i="3"/>
  <c r="C125" i="3"/>
  <c r="D125" i="3"/>
  <c r="D126" i="3"/>
  <c r="E126" i="3"/>
  <c r="C128" i="3"/>
  <c r="D128" i="3"/>
  <c r="C131" i="3"/>
  <c r="C130" i="3" s="1"/>
  <c r="D131" i="3"/>
  <c r="D130" i="3" s="1"/>
  <c r="E131" i="3"/>
  <c r="E129" i="3" s="1"/>
  <c r="C137" i="3"/>
  <c r="C139" i="3"/>
  <c r="C141" i="3" s="1"/>
  <c r="D139" i="3"/>
  <c r="D141" i="3" s="1"/>
  <c r="E139" i="3"/>
  <c r="E142" i="3" s="1"/>
  <c r="C140" i="3"/>
  <c r="E144" i="3"/>
  <c r="E145" i="3"/>
  <c r="C147" i="3"/>
  <c r="D147" i="3"/>
  <c r="D148" i="3" s="1"/>
  <c r="E147" i="3"/>
  <c r="E146" i="3" s="1"/>
  <c r="E148" i="3"/>
  <c r="E149" i="3"/>
  <c r="E150" i="3"/>
  <c r="C155" i="3"/>
  <c r="C154" i="3" s="1"/>
  <c r="D155" i="3"/>
  <c r="D154" i="3" s="1"/>
  <c r="E155" i="3"/>
  <c r="E154" i="3" s="1"/>
  <c r="H154" i="3" s="1"/>
  <c r="D162" i="3"/>
  <c r="C163" i="3"/>
  <c r="C160" i="3" s="1"/>
  <c r="D163" i="3"/>
  <c r="D160" i="3" s="1"/>
  <c r="E163" i="3"/>
  <c r="E165" i="3" s="1"/>
  <c r="X16" i="1"/>
  <c r="J166" i="4"/>
  <c r="I166" i="4"/>
  <c r="J165" i="4"/>
  <c r="I165" i="4"/>
  <c r="J164" i="4"/>
  <c r="I164" i="4"/>
  <c r="J163" i="4"/>
  <c r="I163" i="4"/>
  <c r="E163" i="4"/>
  <c r="E165" i="4" s="1"/>
  <c r="D163" i="4"/>
  <c r="D164" i="4" s="1"/>
  <c r="C163" i="4"/>
  <c r="C164" i="4" s="1"/>
  <c r="J162" i="4"/>
  <c r="I162" i="4"/>
  <c r="J161" i="4"/>
  <c r="I161" i="4"/>
  <c r="J160" i="4"/>
  <c r="I160" i="4"/>
  <c r="J158" i="4"/>
  <c r="I158" i="4"/>
  <c r="J157" i="4"/>
  <c r="I157" i="4"/>
  <c r="J156" i="4"/>
  <c r="I156" i="4"/>
  <c r="J155" i="4"/>
  <c r="I155" i="4"/>
  <c r="E155" i="4"/>
  <c r="E157" i="4" s="1"/>
  <c r="D155" i="4"/>
  <c r="D156" i="4" s="1"/>
  <c r="C155" i="4"/>
  <c r="C156" i="4" s="1"/>
  <c r="J154" i="4"/>
  <c r="I154" i="4"/>
  <c r="J153" i="4"/>
  <c r="I153" i="4"/>
  <c r="J152" i="4"/>
  <c r="I152" i="4"/>
  <c r="J150" i="4"/>
  <c r="I150" i="4"/>
  <c r="J149" i="4"/>
  <c r="I149" i="4"/>
  <c r="J148" i="4"/>
  <c r="I148" i="4"/>
  <c r="J147" i="4"/>
  <c r="I147" i="4"/>
  <c r="E147" i="4"/>
  <c r="E148" i="4" s="1"/>
  <c r="D147" i="4"/>
  <c r="D148" i="4" s="1"/>
  <c r="C147" i="4"/>
  <c r="J146" i="4"/>
  <c r="I146" i="4"/>
  <c r="J145" i="4"/>
  <c r="I145" i="4"/>
  <c r="J144" i="4"/>
  <c r="I144" i="4"/>
  <c r="J142" i="4"/>
  <c r="I142" i="4"/>
  <c r="J141" i="4"/>
  <c r="I141" i="4"/>
  <c r="J140" i="4"/>
  <c r="I140" i="4"/>
  <c r="J139" i="4"/>
  <c r="I139" i="4"/>
  <c r="E139" i="4"/>
  <c r="E142" i="4" s="1"/>
  <c r="D139" i="4"/>
  <c r="D142" i="4" s="1"/>
  <c r="C139" i="4"/>
  <c r="C141" i="4" s="1"/>
  <c r="J138" i="4"/>
  <c r="I138" i="4"/>
  <c r="J137" i="4"/>
  <c r="I137" i="4"/>
  <c r="J136" i="4"/>
  <c r="I136" i="4"/>
  <c r="J134" i="4"/>
  <c r="I134" i="4"/>
  <c r="J133" i="4"/>
  <c r="I133" i="4"/>
  <c r="J132" i="4"/>
  <c r="I132" i="4"/>
  <c r="J131" i="4"/>
  <c r="I131" i="4"/>
  <c r="E131" i="4"/>
  <c r="E133" i="4" s="1"/>
  <c r="D131" i="4"/>
  <c r="D132" i="4" s="1"/>
  <c r="C131" i="4"/>
  <c r="C133" i="4" s="1"/>
  <c r="J130" i="4"/>
  <c r="I130" i="4"/>
  <c r="J129" i="4"/>
  <c r="I129" i="4"/>
  <c r="J128" i="4"/>
  <c r="I128" i="4"/>
  <c r="J126" i="4"/>
  <c r="I126" i="4"/>
  <c r="J125" i="4"/>
  <c r="I125" i="4"/>
  <c r="J124" i="4"/>
  <c r="I124" i="4"/>
  <c r="J123" i="4"/>
  <c r="I123" i="4"/>
  <c r="E123" i="4"/>
  <c r="E126" i="4" s="1"/>
  <c r="D123" i="4"/>
  <c r="D124" i="4" s="1"/>
  <c r="C123" i="4"/>
  <c r="C126" i="4" s="1"/>
  <c r="J122" i="4"/>
  <c r="I122" i="4"/>
  <c r="J121" i="4"/>
  <c r="I121" i="4"/>
  <c r="J120" i="4"/>
  <c r="I120" i="4"/>
  <c r="J118" i="4"/>
  <c r="I118" i="4"/>
  <c r="J117" i="4"/>
  <c r="I117" i="4"/>
  <c r="J116" i="4"/>
  <c r="I116" i="4"/>
  <c r="J115" i="4"/>
  <c r="I115" i="4"/>
  <c r="E115" i="4"/>
  <c r="E118" i="4" s="1"/>
  <c r="D115" i="4"/>
  <c r="D118" i="4" s="1"/>
  <c r="C115" i="4"/>
  <c r="J114" i="4"/>
  <c r="I114" i="4"/>
  <c r="J113" i="4"/>
  <c r="I113" i="4"/>
  <c r="J112" i="4"/>
  <c r="I112" i="4"/>
  <c r="J110" i="4"/>
  <c r="I110" i="4"/>
  <c r="J109" i="4"/>
  <c r="I109" i="4"/>
  <c r="J108" i="4"/>
  <c r="I108" i="4"/>
  <c r="J107" i="4"/>
  <c r="I107" i="4"/>
  <c r="E107" i="4"/>
  <c r="E110" i="4" s="1"/>
  <c r="D107" i="4"/>
  <c r="D109" i="4" s="1"/>
  <c r="C107" i="4"/>
  <c r="C109" i="4" s="1"/>
  <c r="J106" i="4"/>
  <c r="I106" i="4"/>
  <c r="J105" i="4"/>
  <c r="I105" i="4"/>
  <c r="J104" i="4"/>
  <c r="I104" i="4"/>
  <c r="J102" i="4"/>
  <c r="I102" i="4"/>
  <c r="J101" i="4"/>
  <c r="I101" i="4"/>
  <c r="J100" i="4"/>
  <c r="I100" i="4"/>
  <c r="J99" i="4"/>
  <c r="I99" i="4"/>
  <c r="E99" i="4"/>
  <c r="E101" i="4" s="1"/>
  <c r="D99" i="4"/>
  <c r="D100" i="4" s="1"/>
  <c r="C99" i="4"/>
  <c r="C98" i="4" s="1"/>
  <c r="J98" i="4"/>
  <c r="I98" i="4"/>
  <c r="J97" i="4"/>
  <c r="I97" i="4"/>
  <c r="J96" i="4"/>
  <c r="I96" i="4"/>
  <c r="J94" i="4"/>
  <c r="I94" i="4"/>
  <c r="J93" i="4"/>
  <c r="I93" i="4"/>
  <c r="J92" i="4"/>
  <c r="I92" i="4"/>
  <c r="J91" i="4"/>
  <c r="I91" i="4"/>
  <c r="E91" i="4"/>
  <c r="E89" i="4" s="1"/>
  <c r="D91" i="4"/>
  <c r="D92" i="4" s="1"/>
  <c r="C91" i="4"/>
  <c r="C94" i="4" s="1"/>
  <c r="J90" i="4"/>
  <c r="I90" i="4"/>
  <c r="J89" i="4"/>
  <c r="I89" i="4"/>
  <c r="J88" i="4"/>
  <c r="I88" i="4"/>
  <c r="J86" i="4"/>
  <c r="I86" i="4"/>
  <c r="J85" i="4"/>
  <c r="I85" i="4"/>
  <c r="J84" i="4"/>
  <c r="I84" i="4"/>
  <c r="J83" i="4"/>
  <c r="I83" i="4"/>
  <c r="E83" i="4"/>
  <c r="E86" i="4" s="1"/>
  <c r="D83" i="4"/>
  <c r="D85" i="4" s="1"/>
  <c r="C83" i="4"/>
  <c r="J82" i="4"/>
  <c r="I82" i="4"/>
  <c r="J81" i="4"/>
  <c r="I81" i="4"/>
  <c r="J80" i="4"/>
  <c r="I80" i="4"/>
  <c r="J78" i="4"/>
  <c r="I78" i="4"/>
  <c r="J77" i="4"/>
  <c r="I77" i="4"/>
  <c r="J76" i="4"/>
  <c r="I76" i="4"/>
  <c r="J75" i="4"/>
  <c r="I75" i="4"/>
  <c r="E75" i="4"/>
  <c r="E78" i="4" s="1"/>
  <c r="D75" i="4"/>
  <c r="D77" i="4" s="1"/>
  <c r="C75" i="4"/>
  <c r="C77" i="4" s="1"/>
  <c r="J74" i="4"/>
  <c r="I74" i="4"/>
  <c r="J73" i="4"/>
  <c r="I73" i="4"/>
  <c r="J72" i="4"/>
  <c r="I72" i="4"/>
  <c r="J70" i="4"/>
  <c r="I70" i="4"/>
  <c r="J69" i="4"/>
  <c r="I69" i="4"/>
  <c r="J68" i="4"/>
  <c r="I68" i="4"/>
  <c r="J67" i="4"/>
  <c r="I67" i="4"/>
  <c r="E67" i="4"/>
  <c r="E69" i="4" s="1"/>
  <c r="D67" i="4"/>
  <c r="D68" i="4" s="1"/>
  <c r="C67" i="4"/>
  <c r="C68" i="4" s="1"/>
  <c r="J66" i="4"/>
  <c r="I66" i="4"/>
  <c r="J65" i="4"/>
  <c r="I65" i="4"/>
  <c r="J64" i="4"/>
  <c r="I64" i="4"/>
  <c r="J62" i="4"/>
  <c r="I62" i="4"/>
  <c r="J61" i="4"/>
  <c r="I61" i="4"/>
  <c r="J60" i="4"/>
  <c r="I60" i="4"/>
  <c r="J59" i="4"/>
  <c r="I59" i="4"/>
  <c r="E59" i="4"/>
  <c r="E62" i="4" s="1"/>
  <c r="D59" i="4"/>
  <c r="D60" i="4" s="1"/>
  <c r="C59" i="4"/>
  <c r="C62" i="4" s="1"/>
  <c r="J58" i="4"/>
  <c r="I58" i="4"/>
  <c r="J57" i="4"/>
  <c r="I57" i="4"/>
  <c r="J56" i="4"/>
  <c r="I56" i="4"/>
  <c r="J54" i="4"/>
  <c r="I54" i="4"/>
  <c r="J53" i="4"/>
  <c r="I53" i="4"/>
  <c r="J52" i="4"/>
  <c r="I52" i="4"/>
  <c r="J51" i="4"/>
  <c r="I51" i="4"/>
  <c r="E51" i="4"/>
  <c r="E54" i="4" s="1"/>
  <c r="D51" i="4"/>
  <c r="D54" i="4" s="1"/>
  <c r="C51" i="4"/>
  <c r="J50" i="4"/>
  <c r="I50" i="4"/>
  <c r="J49" i="4"/>
  <c r="I49" i="4"/>
  <c r="J48" i="4"/>
  <c r="I48" i="4"/>
  <c r="J46" i="4"/>
  <c r="I46" i="4"/>
  <c r="J45" i="4"/>
  <c r="I45" i="4"/>
  <c r="J44" i="4"/>
  <c r="I44" i="4"/>
  <c r="J43" i="4"/>
  <c r="I43" i="4"/>
  <c r="E43" i="4"/>
  <c r="E46" i="4" s="1"/>
  <c r="D43" i="4"/>
  <c r="D45" i="4" s="1"/>
  <c r="C43" i="4"/>
  <c r="C45" i="4" s="1"/>
  <c r="J42" i="4"/>
  <c r="I42" i="4"/>
  <c r="J41" i="4"/>
  <c r="I41" i="4"/>
  <c r="J40" i="4"/>
  <c r="I40" i="4"/>
  <c r="J38" i="4"/>
  <c r="I38" i="4"/>
  <c r="J37" i="4"/>
  <c r="I37" i="4"/>
  <c r="J36" i="4"/>
  <c r="I36" i="4"/>
  <c r="J35" i="4"/>
  <c r="I35" i="4"/>
  <c r="E35" i="4"/>
  <c r="E37" i="4" s="1"/>
  <c r="D35" i="4"/>
  <c r="D36" i="4" s="1"/>
  <c r="C35" i="4"/>
  <c r="C32" i="4" s="1"/>
  <c r="J34" i="4"/>
  <c r="I34" i="4"/>
  <c r="J33" i="4"/>
  <c r="I33" i="4"/>
  <c r="J32" i="4"/>
  <c r="I32" i="4"/>
  <c r="J30" i="4"/>
  <c r="I30" i="4"/>
  <c r="J29" i="4"/>
  <c r="I29" i="4"/>
  <c r="J28" i="4"/>
  <c r="I28" i="4"/>
  <c r="J27" i="4"/>
  <c r="I27" i="4"/>
  <c r="E27" i="4"/>
  <c r="E25" i="4" s="1"/>
  <c r="D27" i="4"/>
  <c r="D28" i="4" s="1"/>
  <c r="C27" i="4"/>
  <c r="C30" i="4" s="1"/>
  <c r="J26" i="4"/>
  <c r="I26" i="4"/>
  <c r="J25" i="4"/>
  <c r="I25" i="4"/>
  <c r="J24" i="4"/>
  <c r="I24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4" i="4"/>
  <c r="H4" i="4"/>
  <c r="G4" i="4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C27" i="3"/>
  <c r="C25" i="3" s="1"/>
  <c r="D27" i="3"/>
  <c r="D30" i="3" s="1"/>
  <c r="E27" i="3"/>
  <c r="E30" i="3" s="1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G5" i="3"/>
  <c r="G6" i="3"/>
  <c r="G7" i="3"/>
  <c r="G8" i="3"/>
  <c r="G9" i="3"/>
  <c r="G10" i="3"/>
  <c r="G11" i="3"/>
  <c r="G12" i="3"/>
  <c r="G4" i="3"/>
  <c r="X94" i="1"/>
  <c r="X93" i="1"/>
  <c r="X92" i="1"/>
  <c r="X91" i="1"/>
  <c r="X90" i="1"/>
  <c r="X89" i="1"/>
  <c r="X88" i="1"/>
  <c r="X85" i="1"/>
  <c r="X84" i="1"/>
  <c r="X83" i="1"/>
  <c r="X82" i="1"/>
  <c r="X81" i="1"/>
  <c r="X80" i="1"/>
  <c r="X79" i="1"/>
  <c r="X76" i="1"/>
  <c r="X75" i="1"/>
  <c r="X74" i="1"/>
  <c r="X73" i="1"/>
  <c r="X72" i="1"/>
  <c r="X71" i="1"/>
  <c r="X70" i="1"/>
  <c r="X67" i="1"/>
  <c r="X66" i="1"/>
  <c r="X65" i="1"/>
  <c r="X64" i="1"/>
  <c r="X63" i="1"/>
  <c r="X62" i="1"/>
  <c r="X61" i="1"/>
  <c r="X58" i="1"/>
  <c r="X57" i="1"/>
  <c r="X56" i="1"/>
  <c r="X55" i="1"/>
  <c r="X54" i="1"/>
  <c r="X53" i="1"/>
  <c r="X52" i="1"/>
  <c r="X49" i="1"/>
  <c r="X48" i="1"/>
  <c r="X47" i="1"/>
  <c r="X46" i="1"/>
  <c r="X45" i="1"/>
  <c r="X44" i="1"/>
  <c r="X43" i="1"/>
  <c r="X40" i="1"/>
  <c r="X39" i="1"/>
  <c r="X38" i="1"/>
  <c r="X37" i="1"/>
  <c r="X36" i="1"/>
  <c r="X35" i="1"/>
  <c r="X34" i="1"/>
  <c r="X31" i="1"/>
  <c r="X30" i="1"/>
  <c r="X29" i="1"/>
  <c r="X28" i="1"/>
  <c r="X27" i="1"/>
  <c r="X26" i="1"/>
  <c r="X25" i="1"/>
  <c r="X22" i="1"/>
  <c r="X21" i="1"/>
  <c r="X20" i="1"/>
  <c r="X19" i="1"/>
  <c r="X18" i="1"/>
  <c r="X17" i="1"/>
  <c r="T91" i="1"/>
  <c r="T94" i="1" s="1"/>
  <c r="S91" i="1"/>
  <c r="S93" i="1" s="1"/>
  <c r="R91" i="1"/>
  <c r="T82" i="1"/>
  <c r="T85" i="1" s="1"/>
  <c r="S82" i="1"/>
  <c r="S80" i="1" s="1"/>
  <c r="R82" i="1"/>
  <c r="R83" i="1" s="1"/>
  <c r="T73" i="1"/>
  <c r="T76" i="1" s="1"/>
  <c r="S73" i="1"/>
  <c r="S71" i="1" s="1"/>
  <c r="R73" i="1"/>
  <c r="R74" i="1" s="1"/>
  <c r="T64" i="1"/>
  <c r="T66" i="1" s="1"/>
  <c r="S64" i="1"/>
  <c r="S67" i="1" s="1"/>
  <c r="R64" i="1"/>
  <c r="T55" i="1"/>
  <c r="T58" i="1" s="1"/>
  <c r="S55" i="1"/>
  <c r="S53" i="1" s="1"/>
  <c r="R55" i="1"/>
  <c r="R56" i="1" s="1"/>
  <c r="T46" i="1"/>
  <c r="T48" i="1" s="1"/>
  <c r="S46" i="1"/>
  <c r="S49" i="1" s="1"/>
  <c r="R46" i="1"/>
  <c r="R49" i="1" s="1"/>
  <c r="T37" i="1"/>
  <c r="T39" i="1" s="1"/>
  <c r="S37" i="1"/>
  <c r="S40" i="1" s="1"/>
  <c r="R37" i="1"/>
  <c r="R40" i="1" s="1"/>
  <c r="T28" i="1"/>
  <c r="T31" i="1" s="1"/>
  <c r="S28" i="1"/>
  <c r="S26" i="1" s="1"/>
  <c r="R28" i="1"/>
  <c r="R29" i="1" s="1"/>
  <c r="T19" i="1"/>
  <c r="T17" i="1" s="1"/>
  <c r="S19" i="1"/>
  <c r="S22" i="1" s="1"/>
  <c r="R19" i="1"/>
  <c r="R21" i="1" s="1"/>
  <c r="R62" i="1"/>
  <c r="N23" i="1"/>
  <c r="L23" i="1"/>
  <c r="J23" i="1"/>
  <c r="H23" i="1"/>
  <c r="F23" i="1"/>
  <c r="D23" i="1"/>
  <c r="N16" i="1"/>
  <c r="L16" i="1"/>
  <c r="J16" i="1"/>
  <c r="H16" i="1"/>
  <c r="F16" i="1"/>
  <c r="D16" i="1"/>
  <c r="N14" i="1"/>
  <c r="L14" i="1"/>
  <c r="J14" i="1"/>
  <c r="H14" i="1"/>
  <c r="F14" i="1"/>
  <c r="D14" i="1"/>
  <c r="N12" i="1"/>
  <c r="L12" i="1"/>
  <c r="J12" i="1"/>
  <c r="H12" i="1"/>
  <c r="F12" i="1"/>
  <c r="D12" i="1"/>
  <c r="N10" i="1"/>
  <c r="L10" i="1"/>
  <c r="J10" i="1"/>
  <c r="H10" i="1"/>
  <c r="F10" i="1"/>
  <c r="D10" i="1"/>
  <c r="N8" i="1"/>
  <c r="L8" i="1"/>
  <c r="J8" i="1"/>
  <c r="H8" i="1"/>
  <c r="F8" i="1"/>
  <c r="D8" i="1"/>
  <c r="N6" i="1"/>
  <c r="L6" i="1"/>
  <c r="J6" i="1"/>
  <c r="H6" i="1"/>
  <c r="F6" i="1"/>
  <c r="D6" i="1"/>
  <c r="E162" i="6" l="1"/>
  <c r="C110" i="6"/>
  <c r="D109" i="6"/>
  <c r="E110" i="6"/>
  <c r="E109" i="6"/>
  <c r="D111" i="6"/>
  <c r="H167" i="6"/>
  <c r="C103" i="6"/>
  <c r="C105" i="6"/>
  <c r="C85" i="6"/>
  <c r="C106" i="6"/>
  <c r="D86" i="6"/>
  <c r="C47" i="6"/>
  <c r="C81" i="6"/>
  <c r="D85" i="6"/>
  <c r="D81" i="6"/>
  <c r="H84" i="6"/>
  <c r="C82" i="6"/>
  <c r="D82" i="6"/>
  <c r="E85" i="6"/>
  <c r="D73" i="6"/>
  <c r="E87" i="6"/>
  <c r="E74" i="6"/>
  <c r="C135" i="6"/>
  <c r="D55" i="6"/>
  <c r="E93" i="6"/>
  <c r="E73" i="6"/>
  <c r="D74" i="6"/>
  <c r="E89" i="6"/>
  <c r="E98" i="6"/>
  <c r="E27" i="6"/>
  <c r="E114" i="6"/>
  <c r="D43" i="6"/>
  <c r="D131" i="6"/>
  <c r="E43" i="6"/>
  <c r="C78" i="6"/>
  <c r="E131" i="6"/>
  <c r="C115" i="6"/>
  <c r="H108" i="6"/>
  <c r="D115" i="6"/>
  <c r="E46" i="6"/>
  <c r="H46" i="6" s="1"/>
  <c r="E134" i="6"/>
  <c r="D27" i="6"/>
  <c r="C79" i="6"/>
  <c r="H79" i="6" s="1"/>
  <c r="E115" i="6"/>
  <c r="D47" i="6"/>
  <c r="C83" i="6"/>
  <c r="D106" i="6"/>
  <c r="E111" i="6"/>
  <c r="E118" i="6"/>
  <c r="D129" i="6"/>
  <c r="D135" i="6"/>
  <c r="E143" i="6"/>
  <c r="D29" i="6"/>
  <c r="E55" i="6"/>
  <c r="E29" i="6"/>
  <c r="E39" i="6"/>
  <c r="E47" i="6"/>
  <c r="E90" i="6"/>
  <c r="E106" i="6"/>
  <c r="E129" i="6"/>
  <c r="E135" i="6"/>
  <c r="H159" i="6"/>
  <c r="D118" i="6"/>
  <c r="E41" i="6"/>
  <c r="H71" i="6"/>
  <c r="E113" i="6"/>
  <c r="C91" i="6"/>
  <c r="C107" i="6"/>
  <c r="E130" i="6"/>
  <c r="E91" i="6"/>
  <c r="C65" i="6"/>
  <c r="E127" i="6"/>
  <c r="C153" i="6"/>
  <c r="D161" i="6"/>
  <c r="C98" i="6"/>
  <c r="C34" i="6"/>
  <c r="H34" i="6" s="1"/>
  <c r="D98" i="6"/>
  <c r="C122" i="6"/>
  <c r="H122" i="6" s="1"/>
  <c r="D143" i="6"/>
  <c r="D162" i="6"/>
  <c r="C155" i="6"/>
  <c r="D103" i="6"/>
  <c r="C154" i="6"/>
  <c r="C123" i="6"/>
  <c r="E35" i="6"/>
  <c r="D42" i="6"/>
  <c r="C67" i="6"/>
  <c r="E123" i="6"/>
  <c r="E42" i="6"/>
  <c r="D105" i="6"/>
  <c r="E163" i="6"/>
  <c r="C66" i="6"/>
  <c r="C35" i="6"/>
  <c r="D35" i="6"/>
  <c r="D99" i="6"/>
  <c r="D123" i="6"/>
  <c r="H92" i="6"/>
  <c r="E99" i="6"/>
  <c r="E75" i="6"/>
  <c r="E81" i="6"/>
  <c r="E86" i="6"/>
  <c r="D110" i="6"/>
  <c r="H100" i="6"/>
  <c r="D30" i="6"/>
  <c r="H164" i="6"/>
  <c r="E25" i="6"/>
  <c r="E30" i="6"/>
  <c r="C37" i="6"/>
  <c r="C69" i="6"/>
  <c r="H76" i="6"/>
  <c r="D89" i="6"/>
  <c r="C94" i="6"/>
  <c r="C125" i="6"/>
  <c r="C157" i="6"/>
  <c r="D101" i="6"/>
  <c r="C31" i="6"/>
  <c r="C119" i="6"/>
  <c r="C126" i="6"/>
  <c r="E26" i="6"/>
  <c r="D77" i="6"/>
  <c r="C90" i="6"/>
  <c r="C101" i="6"/>
  <c r="D26" i="6"/>
  <c r="C38" i="6"/>
  <c r="C77" i="6"/>
  <c r="E77" i="6"/>
  <c r="D90" i="6"/>
  <c r="D97" i="6"/>
  <c r="H97" i="6" s="1"/>
  <c r="C102" i="6"/>
  <c r="D114" i="6"/>
  <c r="C33" i="6"/>
  <c r="C121" i="6"/>
  <c r="C27" i="6"/>
  <c r="D39" i="6"/>
  <c r="C73" i="6"/>
  <c r="E102" i="6"/>
  <c r="D127" i="6"/>
  <c r="C161" i="6"/>
  <c r="D38" i="6"/>
  <c r="D51" i="6"/>
  <c r="D63" i="6"/>
  <c r="D126" i="6"/>
  <c r="D139" i="6"/>
  <c r="D151" i="6"/>
  <c r="C30" i="6"/>
  <c r="E38" i="6"/>
  <c r="C43" i="6"/>
  <c r="E51" i="6"/>
  <c r="C55" i="6"/>
  <c r="E63" i="6"/>
  <c r="C93" i="6"/>
  <c r="E101" i="6"/>
  <c r="C118" i="6"/>
  <c r="E126" i="6"/>
  <c r="C131" i="6"/>
  <c r="E139" i="6"/>
  <c r="C143" i="6"/>
  <c r="E151" i="6"/>
  <c r="E161" i="6"/>
  <c r="C165" i="6"/>
  <c r="D165" i="6"/>
  <c r="E165" i="6"/>
  <c r="D65" i="6"/>
  <c r="H148" i="6"/>
  <c r="E65" i="6"/>
  <c r="C145" i="6"/>
  <c r="E153" i="6"/>
  <c r="D31" i="6"/>
  <c r="H52" i="6"/>
  <c r="D57" i="6"/>
  <c r="D69" i="6"/>
  <c r="D94" i="6"/>
  <c r="D119" i="6"/>
  <c r="H140" i="6"/>
  <c r="D145" i="6"/>
  <c r="D157" i="6"/>
  <c r="C49" i="6"/>
  <c r="E57" i="6"/>
  <c r="C61" i="6"/>
  <c r="E69" i="6"/>
  <c r="C74" i="6"/>
  <c r="E82" i="6"/>
  <c r="C86" i="6"/>
  <c r="E94" i="6"/>
  <c r="C99" i="6"/>
  <c r="E107" i="6"/>
  <c r="C111" i="6"/>
  <c r="E119" i="6"/>
  <c r="C137" i="6"/>
  <c r="E145" i="6"/>
  <c r="C149" i="6"/>
  <c r="E157" i="6"/>
  <c r="C162" i="6"/>
  <c r="H44" i="6"/>
  <c r="H132" i="6"/>
  <c r="D137" i="6"/>
  <c r="D149" i="6"/>
  <c r="C166" i="6"/>
  <c r="H68" i="6"/>
  <c r="D166" i="6"/>
  <c r="C45" i="6"/>
  <c r="E53" i="6"/>
  <c r="C58" i="6"/>
  <c r="E66" i="6"/>
  <c r="C70" i="6"/>
  <c r="E78" i="6"/>
  <c r="C95" i="6"/>
  <c r="E103" i="6"/>
  <c r="C133" i="6"/>
  <c r="E141" i="6"/>
  <c r="C146" i="6"/>
  <c r="E154" i="6"/>
  <c r="C158" i="6"/>
  <c r="E166" i="6"/>
  <c r="H156" i="6"/>
  <c r="H60" i="6"/>
  <c r="D153" i="6"/>
  <c r="E137" i="6"/>
  <c r="H36" i="6"/>
  <c r="D53" i="6"/>
  <c r="D66" i="6"/>
  <c r="D78" i="6"/>
  <c r="D141" i="6"/>
  <c r="H28" i="6"/>
  <c r="D33" i="6"/>
  <c r="D45" i="6"/>
  <c r="D58" i="6"/>
  <c r="D70" i="6"/>
  <c r="D83" i="6"/>
  <c r="D95" i="6"/>
  <c r="H116" i="6"/>
  <c r="D121" i="6"/>
  <c r="D133" i="6"/>
  <c r="D146" i="6"/>
  <c r="D158" i="6"/>
  <c r="E49" i="6"/>
  <c r="D41" i="6"/>
  <c r="D91" i="6"/>
  <c r="H124" i="6"/>
  <c r="D154" i="6"/>
  <c r="C25" i="6"/>
  <c r="E33" i="6"/>
  <c r="C50" i="6"/>
  <c r="E58" i="6"/>
  <c r="C62" i="6"/>
  <c r="E70" i="6"/>
  <c r="C113" i="6"/>
  <c r="E121" i="6"/>
  <c r="C138" i="6"/>
  <c r="E146" i="6"/>
  <c r="C150" i="6"/>
  <c r="E158" i="6"/>
  <c r="C163" i="6"/>
  <c r="E61" i="6"/>
  <c r="C141" i="6"/>
  <c r="D37" i="6"/>
  <c r="D50" i="6"/>
  <c r="D62" i="6"/>
  <c r="D75" i="6"/>
  <c r="D113" i="6"/>
  <c r="D125" i="6"/>
  <c r="D138" i="6"/>
  <c r="D150" i="6"/>
  <c r="D163" i="6"/>
  <c r="D49" i="6"/>
  <c r="C41" i="6"/>
  <c r="C129" i="6"/>
  <c r="E149" i="6"/>
  <c r="C29" i="6"/>
  <c r="E37" i="6"/>
  <c r="C42" i="6"/>
  <c r="E50" i="6"/>
  <c r="C54" i="6"/>
  <c r="H54" i="6" s="1"/>
  <c r="E62" i="6"/>
  <c r="C117" i="6"/>
  <c r="H117" i="6" s="1"/>
  <c r="E125" i="6"/>
  <c r="C130" i="6"/>
  <c r="E138" i="6"/>
  <c r="C142" i="6"/>
  <c r="H142" i="6" s="1"/>
  <c r="E150" i="6"/>
  <c r="D61" i="6"/>
  <c r="D67" i="6"/>
  <c r="D130" i="6"/>
  <c r="D155" i="6"/>
  <c r="C59" i="6"/>
  <c r="H59" i="6" s="1"/>
  <c r="E67" i="6"/>
  <c r="C147" i="6"/>
  <c r="H147" i="6" s="1"/>
  <c r="E155" i="6"/>
  <c r="C57" i="6"/>
  <c r="C53" i="6"/>
  <c r="G53" i="5"/>
  <c r="G31" i="5"/>
  <c r="G9" i="5"/>
  <c r="G52" i="5"/>
  <c r="G30" i="5"/>
  <c r="G8" i="5"/>
  <c r="G51" i="5"/>
  <c r="G29" i="5"/>
  <c r="H141" i="3"/>
  <c r="H74" i="3"/>
  <c r="H130" i="3"/>
  <c r="H76" i="3"/>
  <c r="H25" i="3"/>
  <c r="H105" i="3"/>
  <c r="H73" i="3"/>
  <c r="H124" i="3"/>
  <c r="H122" i="3"/>
  <c r="E161" i="3"/>
  <c r="D132" i="3"/>
  <c r="D33" i="3"/>
  <c r="E132" i="3"/>
  <c r="D110" i="3"/>
  <c r="C110" i="3"/>
  <c r="D161" i="3"/>
  <c r="C132" i="3"/>
  <c r="H132" i="3" s="1"/>
  <c r="C108" i="3"/>
  <c r="E97" i="3"/>
  <c r="H97" i="3" s="1"/>
  <c r="C80" i="3"/>
  <c r="H80" i="3" s="1"/>
  <c r="C65" i="3"/>
  <c r="E46" i="3"/>
  <c r="H123" i="3"/>
  <c r="H139" i="3"/>
  <c r="E96" i="3"/>
  <c r="H96" i="3" s="1"/>
  <c r="E156" i="3"/>
  <c r="C142" i="3"/>
  <c r="H142" i="3" s="1"/>
  <c r="D129" i="3"/>
  <c r="C121" i="3"/>
  <c r="H121" i="3" s="1"/>
  <c r="E104" i="3"/>
  <c r="D96" i="3"/>
  <c r="E77" i="3"/>
  <c r="H77" i="3" s="1"/>
  <c r="E41" i="3"/>
  <c r="H27" i="3"/>
  <c r="H155" i="3"/>
  <c r="E158" i="3"/>
  <c r="H131" i="3"/>
  <c r="D158" i="3"/>
  <c r="C158" i="3"/>
  <c r="D142" i="3"/>
  <c r="H147" i="3"/>
  <c r="D156" i="3"/>
  <c r="E140" i="3"/>
  <c r="C129" i="3"/>
  <c r="D104" i="3"/>
  <c r="E38" i="3"/>
  <c r="H163" i="3"/>
  <c r="C156" i="3"/>
  <c r="H156" i="3" s="1"/>
  <c r="D140" i="3"/>
  <c r="H140" i="3" s="1"/>
  <c r="E128" i="3"/>
  <c r="H128" i="3" s="1"/>
  <c r="C104" i="3"/>
  <c r="D92" i="3"/>
  <c r="H92" i="3" s="1"/>
  <c r="D38" i="3"/>
  <c r="D76" i="3"/>
  <c r="C56" i="3"/>
  <c r="H56" i="3" s="1"/>
  <c r="E36" i="3"/>
  <c r="H35" i="3"/>
  <c r="D36" i="3"/>
  <c r="E166" i="3"/>
  <c r="E153" i="3"/>
  <c r="E101" i="3"/>
  <c r="D54" i="3"/>
  <c r="D166" i="3"/>
  <c r="D153" i="3"/>
  <c r="E138" i="3"/>
  <c r="C126" i="3"/>
  <c r="H126" i="3" s="1"/>
  <c r="C90" i="3"/>
  <c r="C54" i="3"/>
  <c r="H54" i="3" s="1"/>
  <c r="D165" i="3"/>
  <c r="C153" i="3"/>
  <c r="H153" i="3" s="1"/>
  <c r="D138" i="3"/>
  <c r="E125" i="3"/>
  <c r="H125" i="3" s="1"/>
  <c r="C101" i="3"/>
  <c r="H101" i="3" s="1"/>
  <c r="E89" i="3"/>
  <c r="H89" i="3" s="1"/>
  <c r="C53" i="3"/>
  <c r="H43" i="3"/>
  <c r="E54" i="3"/>
  <c r="C165" i="3"/>
  <c r="E152" i="3"/>
  <c r="C138" i="3"/>
  <c r="E100" i="3"/>
  <c r="D89" i="3"/>
  <c r="D74" i="3"/>
  <c r="E52" i="3"/>
  <c r="E34" i="3"/>
  <c r="H51" i="3"/>
  <c r="E164" i="3"/>
  <c r="D152" i="3"/>
  <c r="E137" i="3"/>
  <c r="D34" i="3"/>
  <c r="D164" i="3"/>
  <c r="C152" i="3"/>
  <c r="D137" i="3"/>
  <c r="H137" i="3" s="1"/>
  <c r="D114" i="3"/>
  <c r="H114" i="3" s="1"/>
  <c r="C100" i="3"/>
  <c r="H100" i="3" s="1"/>
  <c r="E85" i="3"/>
  <c r="E73" i="3"/>
  <c r="C52" i="3"/>
  <c r="E33" i="3"/>
  <c r="H67" i="3"/>
  <c r="D37" i="3"/>
  <c r="E134" i="3"/>
  <c r="H83" i="3"/>
  <c r="D134" i="3"/>
  <c r="H91" i="3"/>
  <c r="E162" i="3"/>
  <c r="C134" i="3"/>
  <c r="H134" i="3" s="1"/>
  <c r="C113" i="3"/>
  <c r="H113" i="3" s="1"/>
  <c r="E49" i="3"/>
  <c r="D49" i="3"/>
  <c r="H49" i="3" s="1"/>
  <c r="H107" i="3"/>
  <c r="C37" i="3"/>
  <c r="H37" i="3" s="1"/>
  <c r="E109" i="3"/>
  <c r="C85" i="3"/>
  <c r="D146" i="3"/>
  <c r="D109" i="3"/>
  <c r="C164" i="3"/>
  <c r="H164" i="3" s="1"/>
  <c r="C146" i="3"/>
  <c r="H146" i="3" s="1"/>
  <c r="E133" i="3"/>
  <c r="C109" i="3"/>
  <c r="E60" i="3"/>
  <c r="E42" i="3"/>
  <c r="C36" i="3"/>
  <c r="D133" i="3"/>
  <c r="D60" i="3"/>
  <c r="D42" i="3"/>
  <c r="E157" i="3"/>
  <c r="C133" i="3"/>
  <c r="H133" i="3" s="1"/>
  <c r="E84" i="3"/>
  <c r="E66" i="3"/>
  <c r="C60" i="3"/>
  <c r="H60" i="3" s="1"/>
  <c r="E48" i="3"/>
  <c r="C42" i="3"/>
  <c r="H42" i="3" s="1"/>
  <c r="D157" i="3"/>
  <c r="D84" i="3"/>
  <c r="D66" i="3"/>
  <c r="D48" i="3"/>
  <c r="C157" i="3"/>
  <c r="H157" i="3" s="1"/>
  <c r="E108" i="3"/>
  <c r="E90" i="3"/>
  <c r="C84" i="3"/>
  <c r="E72" i="3"/>
  <c r="H72" i="3" s="1"/>
  <c r="C66" i="3"/>
  <c r="E53" i="3"/>
  <c r="C48" i="3"/>
  <c r="D145" i="3"/>
  <c r="D108" i="3"/>
  <c r="D90" i="3"/>
  <c r="D53" i="3"/>
  <c r="D150" i="3"/>
  <c r="E65" i="3"/>
  <c r="C145" i="3"/>
  <c r="D65" i="3"/>
  <c r="E70" i="3"/>
  <c r="D70" i="3"/>
  <c r="E64" i="3"/>
  <c r="C58" i="3"/>
  <c r="H58" i="3" s="1"/>
  <c r="D118" i="3"/>
  <c r="E106" i="3"/>
  <c r="C82" i="3"/>
  <c r="H82" i="3" s="1"/>
  <c r="C41" i="3"/>
  <c r="H41" i="3" s="1"/>
  <c r="C162" i="3"/>
  <c r="H162" i="3" s="1"/>
  <c r="E58" i="3"/>
  <c r="E40" i="3"/>
  <c r="D149" i="3"/>
  <c r="D58" i="3"/>
  <c r="C149" i="3"/>
  <c r="H149" i="3" s="1"/>
  <c r="E118" i="3"/>
  <c r="C94" i="3"/>
  <c r="E82" i="3"/>
  <c r="C118" i="3"/>
  <c r="E69" i="3"/>
  <c r="C64" i="3"/>
  <c r="D106" i="3"/>
  <c r="C106" i="3"/>
  <c r="C69" i="3"/>
  <c r="H69" i="3" s="1"/>
  <c r="D57" i="3"/>
  <c r="C166" i="3"/>
  <c r="H166" i="3" s="1"/>
  <c r="C148" i="3"/>
  <c r="H148" i="3" s="1"/>
  <c r="E136" i="3"/>
  <c r="E117" i="3"/>
  <c r="C93" i="3"/>
  <c r="H93" i="3" s="1"/>
  <c r="E81" i="3"/>
  <c r="E62" i="3"/>
  <c r="H62" i="3" s="1"/>
  <c r="C57" i="3"/>
  <c r="C38" i="3"/>
  <c r="D136" i="3"/>
  <c r="D117" i="3"/>
  <c r="D81" i="3"/>
  <c r="D44" i="3"/>
  <c r="E160" i="3"/>
  <c r="H160" i="3" s="1"/>
  <c r="E141" i="3"/>
  <c r="C136" i="3"/>
  <c r="C117" i="3"/>
  <c r="E105" i="3"/>
  <c r="C81" i="3"/>
  <c r="C44" i="3"/>
  <c r="E32" i="3"/>
  <c r="H32" i="3" s="1"/>
  <c r="D46" i="3"/>
  <c r="C46" i="3"/>
  <c r="H46" i="3" s="1"/>
  <c r="D144" i="3"/>
  <c r="C144" i="3"/>
  <c r="E94" i="3"/>
  <c r="C70" i="3"/>
  <c r="H70" i="3" s="1"/>
  <c r="D40" i="3"/>
  <c r="C40" i="3"/>
  <c r="H40" i="3" s="1"/>
  <c r="D45" i="3"/>
  <c r="D88" i="3"/>
  <c r="H88" i="3" s="1"/>
  <c r="E130" i="3"/>
  <c r="E93" i="3"/>
  <c r="E57" i="3"/>
  <c r="C150" i="3"/>
  <c r="C34" i="3"/>
  <c r="D94" i="3"/>
  <c r="E45" i="3"/>
  <c r="H45" i="3" s="1"/>
  <c r="D82" i="3"/>
  <c r="D64" i="3"/>
  <c r="E88" i="3"/>
  <c r="D69" i="3"/>
  <c r="C161" i="3"/>
  <c r="H161" i="3" s="1"/>
  <c r="C33" i="3"/>
  <c r="H33" i="3" s="1"/>
  <c r="D72" i="4"/>
  <c r="E112" i="4"/>
  <c r="C100" i="4"/>
  <c r="C120" i="4"/>
  <c r="C96" i="4"/>
  <c r="E56" i="4"/>
  <c r="C102" i="4"/>
  <c r="C121" i="4"/>
  <c r="D145" i="4"/>
  <c r="D94" i="4"/>
  <c r="E149" i="4"/>
  <c r="D76" i="4"/>
  <c r="E144" i="4"/>
  <c r="E70" i="4"/>
  <c r="C157" i="4"/>
  <c r="C134" i="4"/>
  <c r="C129" i="4"/>
  <c r="E29" i="4"/>
  <c r="E52" i="4"/>
  <c r="C138" i="4"/>
  <c r="D150" i="4"/>
  <c r="C64" i="4"/>
  <c r="E48" i="4"/>
  <c r="H51" i="4"/>
  <c r="C65" i="4"/>
  <c r="C130" i="4"/>
  <c r="C132" i="4"/>
  <c r="E116" i="4"/>
  <c r="C153" i="4"/>
  <c r="E49" i="4"/>
  <c r="D93" i="4"/>
  <c r="C160" i="4"/>
  <c r="D40" i="4"/>
  <c r="C29" i="4"/>
  <c r="D80" i="4"/>
  <c r="C125" i="4"/>
  <c r="C25" i="4"/>
  <c r="D61" i="4"/>
  <c r="H83" i="4"/>
  <c r="D89" i="4"/>
  <c r="E134" i="4"/>
  <c r="H155" i="4"/>
  <c r="E34" i="4"/>
  <c r="D30" i="4"/>
  <c r="D26" i="4"/>
  <c r="C28" i="4"/>
  <c r="D90" i="4"/>
  <c r="C142" i="4"/>
  <c r="H142" i="4" s="1"/>
  <c r="E156" i="4"/>
  <c r="H156" i="4" s="1"/>
  <c r="H59" i="4"/>
  <c r="E130" i="4"/>
  <c r="E145" i="4"/>
  <c r="C24" i="4"/>
  <c r="E58" i="4"/>
  <c r="C66" i="4"/>
  <c r="C124" i="4"/>
  <c r="E152" i="4"/>
  <c r="E57" i="4"/>
  <c r="E61" i="4"/>
  <c r="E98" i="4"/>
  <c r="D158" i="4"/>
  <c r="D81" i="4"/>
  <c r="D86" i="4"/>
  <c r="E121" i="4"/>
  <c r="D154" i="4"/>
  <c r="E24" i="4"/>
  <c r="C56" i="4"/>
  <c r="C60" i="4"/>
  <c r="E66" i="4"/>
  <c r="D82" i="4"/>
  <c r="D84" i="4"/>
  <c r="C88" i="4"/>
  <c r="C93" i="4"/>
  <c r="E113" i="4"/>
  <c r="D49" i="4"/>
  <c r="C33" i="4"/>
  <c r="C46" i="4"/>
  <c r="E53" i="4"/>
  <c r="C69" i="4"/>
  <c r="E88" i="4"/>
  <c r="E93" i="4"/>
  <c r="D104" i="4"/>
  <c r="H115" i="4"/>
  <c r="H123" i="4"/>
  <c r="D125" i="4"/>
  <c r="C128" i="4"/>
  <c r="D138" i="4"/>
  <c r="D140" i="4"/>
  <c r="D146" i="4"/>
  <c r="E154" i="4"/>
  <c r="E158" i="4"/>
  <c r="C162" i="4"/>
  <c r="E26" i="4"/>
  <c r="C37" i="4"/>
  <c r="D53" i="4"/>
  <c r="D58" i="4"/>
  <c r="H91" i="4"/>
  <c r="E28" i="4"/>
  <c r="C78" i="4"/>
  <c r="E81" i="4"/>
  <c r="E85" i="4"/>
  <c r="C101" i="4"/>
  <c r="E120" i="4"/>
  <c r="E125" i="4"/>
  <c r="D136" i="4"/>
  <c r="D25" i="4"/>
  <c r="E30" i="4"/>
  <c r="C38" i="4"/>
  <c r="C57" i="4"/>
  <c r="E60" i="4"/>
  <c r="D62" i="4"/>
  <c r="H62" i="4" s="1"/>
  <c r="C92" i="4"/>
  <c r="C97" i="4"/>
  <c r="C110" i="4"/>
  <c r="E117" i="4"/>
  <c r="E122" i="4"/>
  <c r="D149" i="4"/>
  <c r="E90" i="4"/>
  <c r="D113" i="4"/>
  <c r="D117" i="4"/>
  <c r="D122" i="4"/>
  <c r="C34" i="4"/>
  <c r="E38" i="4"/>
  <c r="C42" i="4"/>
  <c r="D44" i="4"/>
  <c r="D48" i="4"/>
  <c r="D50" i="4"/>
  <c r="D52" i="4"/>
  <c r="D57" i="4"/>
  <c r="C70" i="4"/>
  <c r="C89" i="4"/>
  <c r="E92" i="4"/>
  <c r="D141" i="4"/>
  <c r="H147" i="4"/>
  <c r="E124" i="4"/>
  <c r="D126" i="4"/>
  <c r="H126" i="4" s="1"/>
  <c r="D137" i="4"/>
  <c r="C36" i="4"/>
  <c r="C74" i="4"/>
  <c r="E94" i="4"/>
  <c r="H27" i="4"/>
  <c r="D29" i="4"/>
  <c r="C61" i="4"/>
  <c r="E80" i="4"/>
  <c r="E84" i="4"/>
  <c r="E102" i="4"/>
  <c r="C106" i="4"/>
  <c r="D108" i="4"/>
  <c r="D112" i="4"/>
  <c r="D114" i="4"/>
  <c r="D116" i="4"/>
  <c r="D121" i="4"/>
  <c r="C26" i="4"/>
  <c r="E32" i="4"/>
  <c r="E36" i="4"/>
  <c r="C40" i="4"/>
  <c r="E41" i="4"/>
  <c r="C44" i="4"/>
  <c r="E45" i="4"/>
  <c r="H45" i="4" s="1"/>
  <c r="C49" i="4"/>
  <c r="E50" i="4"/>
  <c r="C53" i="4"/>
  <c r="C58" i="4"/>
  <c r="E64" i="4"/>
  <c r="E68" i="4"/>
  <c r="H68" i="4" s="1"/>
  <c r="C72" i="4"/>
  <c r="E73" i="4"/>
  <c r="C76" i="4"/>
  <c r="E77" i="4"/>
  <c r="H77" i="4" s="1"/>
  <c r="C81" i="4"/>
  <c r="E82" i="4"/>
  <c r="C85" i="4"/>
  <c r="C90" i="4"/>
  <c r="E96" i="4"/>
  <c r="E100" i="4"/>
  <c r="H100" i="4" s="1"/>
  <c r="C104" i="4"/>
  <c r="E105" i="4"/>
  <c r="C108" i="4"/>
  <c r="E109" i="4"/>
  <c r="H109" i="4" s="1"/>
  <c r="C113" i="4"/>
  <c r="E114" i="4"/>
  <c r="C117" i="4"/>
  <c r="C122" i="4"/>
  <c r="E128" i="4"/>
  <c r="E132" i="4"/>
  <c r="C136" i="4"/>
  <c r="E137" i="4"/>
  <c r="C140" i="4"/>
  <c r="E141" i="4"/>
  <c r="C145" i="4"/>
  <c r="E146" i="4"/>
  <c r="C149" i="4"/>
  <c r="E150" i="4"/>
  <c r="C154" i="4"/>
  <c r="C158" i="4"/>
  <c r="E160" i="4"/>
  <c r="E164" i="4"/>
  <c r="H164" i="4" s="1"/>
  <c r="E40" i="4"/>
  <c r="E44" i="4"/>
  <c r="C48" i="4"/>
  <c r="C52" i="4"/>
  <c r="E72" i="4"/>
  <c r="E76" i="4"/>
  <c r="C80" i="4"/>
  <c r="C84" i="4"/>
  <c r="E104" i="4"/>
  <c r="E108" i="4"/>
  <c r="C112" i="4"/>
  <c r="C116" i="4"/>
  <c r="E136" i="4"/>
  <c r="E140" i="4"/>
  <c r="C144" i="4"/>
  <c r="C148" i="4"/>
  <c r="H148" i="4" s="1"/>
  <c r="C166" i="4"/>
  <c r="D34" i="4"/>
  <c r="H35" i="4"/>
  <c r="D38" i="4"/>
  <c r="D66" i="4"/>
  <c r="H67" i="4"/>
  <c r="D70" i="4"/>
  <c r="D98" i="4"/>
  <c r="H99" i="4"/>
  <c r="D102" i="4"/>
  <c r="D130" i="4"/>
  <c r="H131" i="4"/>
  <c r="D134" i="4"/>
  <c r="D144" i="4"/>
  <c r="D153" i="4"/>
  <c r="D157" i="4"/>
  <c r="D162" i="4"/>
  <c r="H163" i="4"/>
  <c r="D166" i="4"/>
  <c r="C152" i="4"/>
  <c r="E153" i="4"/>
  <c r="C161" i="4"/>
  <c r="E162" i="4"/>
  <c r="C165" i="4"/>
  <c r="E166" i="4"/>
  <c r="D24" i="4"/>
  <c r="D33" i="4"/>
  <c r="D37" i="4"/>
  <c r="D42" i="4"/>
  <c r="H43" i="4"/>
  <c r="D46" i="4"/>
  <c r="D56" i="4"/>
  <c r="D65" i="4"/>
  <c r="D69" i="4"/>
  <c r="D74" i="4"/>
  <c r="H75" i="4"/>
  <c r="D78" i="4"/>
  <c r="D88" i="4"/>
  <c r="D97" i="4"/>
  <c r="D101" i="4"/>
  <c r="D106" i="4"/>
  <c r="H107" i="4"/>
  <c r="D110" i="4"/>
  <c r="D120" i="4"/>
  <c r="D129" i="4"/>
  <c r="D133" i="4"/>
  <c r="H133" i="4" s="1"/>
  <c r="H139" i="4"/>
  <c r="D152" i="4"/>
  <c r="D161" i="4"/>
  <c r="D165" i="4"/>
  <c r="E33" i="4"/>
  <c r="C41" i="4"/>
  <c r="E42" i="4"/>
  <c r="C50" i="4"/>
  <c r="C54" i="4"/>
  <c r="H54" i="4" s="1"/>
  <c r="E65" i="4"/>
  <c r="C73" i="4"/>
  <c r="E74" i="4"/>
  <c r="C82" i="4"/>
  <c r="C86" i="4"/>
  <c r="E97" i="4"/>
  <c r="C105" i="4"/>
  <c r="E106" i="4"/>
  <c r="C114" i="4"/>
  <c r="C118" i="4"/>
  <c r="H118" i="4" s="1"/>
  <c r="E129" i="4"/>
  <c r="C137" i="4"/>
  <c r="E138" i="4"/>
  <c r="C146" i="4"/>
  <c r="C150" i="4"/>
  <c r="E161" i="4"/>
  <c r="D32" i="4"/>
  <c r="D41" i="4"/>
  <c r="D64" i="4"/>
  <c r="D73" i="4"/>
  <c r="D96" i="4"/>
  <c r="D105" i="4"/>
  <c r="D128" i="4"/>
  <c r="D160" i="4"/>
  <c r="D29" i="3"/>
  <c r="D24" i="3"/>
  <c r="D28" i="3"/>
  <c r="C29" i="3"/>
  <c r="D26" i="3"/>
  <c r="E25" i="3"/>
  <c r="E26" i="3"/>
  <c r="E29" i="3"/>
  <c r="E28" i="3"/>
  <c r="D25" i="3"/>
  <c r="C24" i="3"/>
  <c r="H24" i="3" s="1"/>
  <c r="C28" i="3"/>
  <c r="H28" i="3" s="1"/>
  <c r="E24" i="3"/>
  <c r="C26" i="3"/>
  <c r="C30" i="3"/>
  <c r="H30" i="3" s="1"/>
  <c r="W91" i="1"/>
  <c r="T93" i="1"/>
  <c r="S90" i="1"/>
  <c r="T90" i="1"/>
  <c r="R92" i="1"/>
  <c r="S89" i="1"/>
  <c r="T89" i="1"/>
  <c r="R88" i="1"/>
  <c r="T88" i="1"/>
  <c r="R90" i="1"/>
  <c r="R89" i="1"/>
  <c r="S92" i="1"/>
  <c r="T92" i="1"/>
  <c r="R94" i="1"/>
  <c r="S94" i="1"/>
  <c r="R93" i="1"/>
  <c r="S88" i="1"/>
  <c r="W46" i="1"/>
  <c r="W28" i="1"/>
  <c r="W37" i="1"/>
  <c r="W19" i="1"/>
  <c r="W82" i="1"/>
  <c r="W73" i="1"/>
  <c r="W64" i="1"/>
  <c r="R17" i="1"/>
  <c r="W55" i="1"/>
  <c r="R22" i="1"/>
  <c r="S52" i="1"/>
  <c r="T45" i="1"/>
  <c r="T62" i="1"/>
  <c r="R67" i="1"/>
  <c r="R43" i="1"/>
  <c r="T67" i="1"/>
  <c r="S62" i="1"/>
  <c r="R63" i="1"/>
  <c r="R16" i="1"/>
  <c r="S34" i="1"/>
  <c r="T21" i="1"/>
  <c r="R34" i="1"/>
  <c r="S43" i="1"/>
  <c r="R79" i="1"/>
  <c r="R65" i="1"/>
  <c r="S81" i="1"/>
  <c r="T36" i="1"/>
  <c r="T61" i="1"/>
  <c r="T65" i="1"/>
  <c r="T81" i="1"/>
  <c r="T16" i="1"/>
  <c r="S48" i="1"/>
  <c r="S39" i="1"/>
  <c r="R84" i="1"/>
  <c r="S84" i="1"/>
  <c r="S79" i="1"/>
  <c r="T79" i="1"/>
  <c r="R80" i="1"/>
  <c r="T80" i="1"/>
  <c r="S83" i="1"/>
  <c r="R81" i="1"/>
  <c r="T83" i="1"/>
  <c r="T84" i="1"/>
  <c r="R85" i="1"/>
  <c r="S85" i="1"/>
  <c r="S72" i="1"/>
  <c r="R70" i="1"/>
  <c r="S75" i="1"/>
  <c r="S70" i="1"/>
  <c r="R71" i="1"/>
  <c r="T71" i="1"/>
  <c r="S74" i="1"/>
  <c r="R72" i="1"/>
  <c r="T74" i="1"/>
  <c r="T75" i="1"/>
  <c r="R76" i="1"/>
  <c r="S76" i="1"/>
  <c r="R75" i="1"/>
  <c r="T72" i="1"/>
  <c r="T70" i="1"/>
  <c r="S65" i="1"/>
  <c r="S63" i="1"/>
  <c r="R66" i="1"/>
  <c r="R61" i="1"/>
  <c r="T63" i="1"/>
  <c r="S66" i="1"/>
  <c r="S61" i="1"/>
  <c r="S56" i="1"/>
  <c r="T56" i="1"/>
  <c r="T52" i="1"/>
  <c r="T53" i="1"/>
  <c r="R54" i="1"/>
  <c r="S54" i="1"/>
  <c r="R57" i="1"/>
  <c r="R52" i="1"/>
  <c r="T54" i="1"/>
  <c r="S57" i="1"/>
  <c r="T57" i="1"/>
  <c r="R58" i="1"/>
  <c r="S58" i="1"/>
  <c r="R53" i="1"/>
  <c r="R47" i="1"/>
  <c r="R45" i="1"/>
  <c r="T47" i="1"/>
  <c r="T43" i="1"/>
  <c r="R44" i="1"/>
  <c r="S44" i="1"/>
  <c r="T49" i="1"/>
  <c r="W49" i="1" s="1"/>
  <c r="T44" i="1"/>
  <c r="S47" i="1"/>
  <c r="S45" i="1"/>
  <c r="R48" i="1"/>
  <c r="T34" i="1"/>
  <c r="R35" i="1"/>
  <c r="S35" i="1"/>
  <c r="R38" i="1"/>
  <c r="T40" i="1"/>
  <c r="W40" i="1" s="1"/>
  <c r="T35" i="1"/>
  <c r="S38" i="1"/>
  <c r="R36" i="1"/>
  <c r="T38" i="1"/>
  <c r="S36" i="1"/>
  <c r="R39" i="1"/>
  <c r="T26" i="1"/>
  <c r="S29" i="1"/>
  <c r="R27" i="1"/>
  <c r="T29" i="1"/>
  <c r="S27" i="1"/>
  <c r="R30" i="1"/>
  <c r="R25" i="1"/>
  <c r="T27" i="1"/>
  <c r="S30" i="1"/>
  <c r="T30" i="1"/>
  <c r="R31" i="1"/>
  <c r="S31" i="1"/>
  <c r="S25" i="1"/>
  <c r="T25" i="1"/>
  <c r="R26" i="1"/>
  <c r="T22" i="1"/>
  <c r="S17" i="1"/>
  <c r="R20" i="1"/>
  <c r="S20" i="1"/>
  <c r="R18" i="1"/>
  <c r="T20" i="1"/>
  <c r="S18" i="1"/>
  <c r="T18" i="1"/>
  <c r="S21" i="1"/>
  <c r="S16" i="1"/>
  <c r="H109" i="6" l="1"/>
  <c r="H134" i="6"/>
  <c r="H87" i="6"/>
  <c r="H110" i="6"/>
  <c r="H41" i="6"/>
  <c r="H105" i="6"/>
  <c r="H85" i="6"/>
  <c r="H114" i="6"/>
  <c r="H81" i="6"/>
  <c r="H93" i="6"/>
  <c r="H111" i="6"/>
  <c r="H83" i="6"/>
  <c r="H82" i="6"/>
  <c r="H29" i="6"/>
  <c r="H74" i="6"/>
  <c r="H115" i="6"/>
  <c r="H73" i="6"/>
  <c r="H131" i="6"/>
  <c r="H39" i="6"/>
  <c r="H135" i="6"/>
  <c r="H106" i="6"/>
  <c r="H107" i="6"/>
  <c r="H47" i="6"/>
  <c r="H89" i="6"/>
  <c r="H55" i="6"/>
  <c r="H43" i="6"/>
  <c r="H157" i="6"/>
  <c r="H31" i="6"/>
  <c r="H119" i="6"/>
  <c r="H90" i="6"/>
  <c r="H123" i="6"/>
  <c r="H129" i="6"/>
  <c r="H154" i="6"/>
  <c r="H25" i="6"/>
  <c r="H118" i="6"/>
  <c r="H139" i="6"/>
  <c r="H125" i="6"/>
  <c r="H27" i="6"/>
  <c r="H127" i="6"/>
  <c r="H91" i="6"/>
  <c r="H94" i="6"/>
  <c r="H63" i="6"/>
  <c r="H26" i="6"/>
  <c r="H75" i="6"/>
  <c r="H162" i="6"/>
  <c r="H69" i="6"/>
  <c r="H78" i="6"/>
  <c r="H103" i="6"/>
  <c r="H66" i="6"/>
  <c r="H158" i="6"/>
  <c r="H153" i="6"/>
  <c r="H35" i="6"/>
  <c r="H101" i="6"/>
  <c r="H98" i="6"/>
  <c r="H51" i="6"/>
  <c r="H138" i="6"/>
  <c r="H38" i="6"/>
  <c r="H133" i="6"/>
  <c r="H65" i="6"/>
  <c r="H86" i="6"/>
  <c r="H33" i="6"/>
  <c r="H161" i="6"/>
  <c r="H77" i="6"/>
  <c r="H30" i="6"/>
  <c r="H99" i="6"/>
  <c r="H102" i="6"/>
  <c r="H42" i="6"/>
  <c r="H113" i="6"/>
  <c r="H53" i="6"/>
  <c r="H151" i="6"/>
  <c r="H57" i="6"/>
  <c r="H62" i="6"/>
  <c r="H61" i="6"/>
  <c r="H143" i="6"/>
  <c r="H165" i="6"/>
  <c r="H49" i="6"/>
  <c r="H155" i="6"/>
  <c r="H67" i="6"/>
  <c r="H45" i="6"/>
  <c r="H50" i="6"/>
  <c r="H149" i="6"/>
  <c r="H37" i="6"/>
  <c r="H70" i="6"/>
  <c r="H130" i="6"/>
  <c r="H141" i="6"/>
  <c r="H146" i="6"/>
  <c r="H137" i="6"/>
  <c r="H121" i="6"/>
  <c r="H145" i="6"/>
  <c r="H166" i="6"/>
  <c r="H126" i="6"/>
  <c r="H58" i="6"/>
  <c r="H163" i="6"/>
  <c r="H150" i="6"/>
  <c r="H95" i="6"/>
  <c r="H144" i="3"/>
  <c r="H85" i="3"/>
  <c r="H152" i="3"/>
  <c r="H129" i="3"/>
  <c r="H26" i="3"/>
  <c r="H44" i="3"/>
  <c r="H106" i="3"/>
  <c r="H65" i="3"/>
  <c r="H81" i="3"/>
  <c r="H145" i="3"/>
  <c r="H64" i="3"/>
  <c r="H117" i="3"/>
  <c r="H108" i="3"/>
  <c r="H136" i="3"/>
  <c r="H118" i="3"/>
  <c r="H158" i="3"/>
  <c r="H34" i="3"/>
  <c r="H94" i="3"/>
  <c r="H110" i="3"/>
  <c r="W16" i="1"/>
  <c r="H36" i="3"/>
  <c r="H165" i="3"/>
  <c r="H90" i="3"/>
  <c r="H150" i="3"/>
  <c r="H48" i="3"/>
  <c r="H29" i="3"/>
  <c r="H66" i="3"/>
  <c r="H104" i="3"/>
  <c r="H138" i="3"/>
  <c r="H38" i="3"/>
  <c r="H109" i="3"/>
  <c r="H52" i="3"/>
  <c r="H78" i="4"/>
  <c r="H57" i="3"/>
  <c r="H84" i="3"/>
  <c r="H53" i="3"/>
  <c r="H98" i="4"/>
  <c r="H60" i="4"/>
  <c r="H30" i="4"/>
  <c r="H145" i="4"/>
  <c r="H86" i="4"/>
  <c r="H120" i="4"/>
  <c r="H138" i="4"/>
  <c r="H24" i="4"/>
  <c r="H38" i="4"/>
  <c r="H132" i="4"/>
  <c r="H149" i="4"/>
  <c r="H32" i="4"/>
  <c r="H56" i="4"/>
  <c r="H157" i="4"/>
  <c r="H117" i="4"/>
  <c r="H160" i="4"/>
  <c r="H153" i="4"/>
  <c r="H144" i="4"/>
  <c r="H94" i="4"/>
  <c r="H106" i="4"/>
  <c r="H162" i="4"/>
  <c r="H165" i="4"/>
  <c r="H37" i="4"/>
  <c r="H26" i="4"/>
  <c r="H82" i="4"/>
  <c r="H112" i="4"/>
  <c r="H49" i="4"/>
  <c r="H29" i="4"/>
  <c r="H28" i="4"/>
  <c r="H113" i="4"/>
  <c r="H124" i="4"/>
  <c r="H96" i="4"/>
  <c r="H116" i="4"/>
  <c r="H52" i="4"/>
  <c r="H125" i="4"/>
  <c r="H137" i="4"/>
  <c r="H110" i="4"/>
  <c r="H74" i="4"/>
  <c r="H130" i="4"/>
  <c r="H64" i="4"/>
  <c r="H34" i="4"/>
  <c r="H93" i="4"/>
  <c r="H33" i="4"/>
  <c r="H102" i="4"/>
  <c r="H122" i="4"/>
  <c r="H85" i="4"/>
  <c r="H89" i="4"/>
  <c r="H57" i="4"/>
  <c r="H158" i="4"/>
  <c r="H121" i="4"/>
  <c r="H146" i="4"/>
  <c r="H129" i="4"/>
  <c r="H134" i="4"/>
  <c r="H66" i="4"/>
  <c r="H154" i="4"/>
  <c r="H61" i="4"/>
  <c r="H25" i="4"/>
  <c r="H69" i="4"/>
  <c r="H65" i="4"/>
  <c r="H101" i="4"/>
  <c r="H84" i="4"/>
  <c r="H141" i="4"/>
  <c r="H90" i="4"/>
  <c r="H97" i="4"/>
  <c r="H46" i="4"/>
  <c r="H70" i="4"/>
  <c r="H80" i="4"/>
  <c r="H48" i="4"/>
  <c r="H114" i="4"/>
  <c r="H128" i="4"/>
  <c r="H150" i="4"/>
  <c r="H105" i="4"/>
  <c r="H50" i="4"/>
  <c r="H88" i="4"/>
  <c r="H58" i="4"/>
  <c r="H36" i="4"/>
  <c r="H92" i="4"/>
  <c r="H42" i="4"/>
  <c r="H81" i="4"/>
  <c r="H53" i="4"/>
  <c r="H73" i="4"/>
  <c r="H166" i="4"/>
  <c r="H72" i="4"/>
  <c r="H44" i="4"/>
  <c r="H140" i="4"/>
  <c r="H40" i="4"/>
  <c r="H161" i="4"/>
  <c r="H136" i="4"/>
  <c r="H108" i="4"/>
  <c r="H41" i="4"/>
  <c r="H152" i="4"/>
  <c r="H104" i="4"/>
  <c r="H76" i="4"/>
  <c r="W90" i="1"/>
  <c r="W93" i="1"/>
  <c r="W92" i="1"/>
  <c r="W88" i="1"/>
  <c r="W94" i="1"/>
  <c r="W89" i="1"/>
  <c r="W21" i="1"/>
  <c r="W56" i="1"/>
  <c r="W75" i="1"/>
  <c r="W85" i="1"/>
  <c r="W62" i="1"/>
  <c r="W53" i="1"/>
  <c r="W65" i="1"/>
  <c r="W80" i="1"/>
  <c r="W83" i="1"/>
  <c r="W26" i="1"/>
  <c r="W67" i="1"/>
  <c r="W48" i="1"/>
  <c r="W74" i="1"/>
  <c r="W29" i="1"/>
  <c r="W44" i="1"/>
  <c r="W17" i="1"/>
  <c r="W35" i="1"/>
  <c r="W34" i="1"/>
  <c r="W25" i="1"/>
  <c r="W30" i="1"/>
  <c r="W72" i="1"/>
  <c r="W36" i="1"/>
  <c r="W45" i="1"/>
  <c r="W52" i="1"/>
  <c r="W27" i="1"/>
  <c r="W47" i="1"/>
  <c r="W57" i="1"/>
  <c r="W71" i="1"/>
  <c r="W84" i="1"/>
  <c r="W63" i="1"/>
  <c r="W20" i="1"/>
  <c r="W81" i="1"/>
  <c r="W31" i="1"/>
  <c r="W38" i="1"/>
  <c r="W54" i="1"/>
  <c r="W61" i="1"/>
  <c r="W76" i="1"/>
  <c r="W79" i="1"/>
  <c r="W22" i="1"/>
  <c r="W18" i="1"/>
  <c r="W39" i="1"/>
  <c r="W58" i="1"/>
  <c r="W66" i="1"/>
  <c r="W70" i="1"/>
  <c r="W43" i="1"/>
</calcChain>
</file>

<file path=xl/sharedStrings.xml><?xml version="1.0" encoding="utf-8"?>
<sst xmlns="http://schemas.openxmlformats.org/spreadsheetml/2006/main" count="1085" uniqueCount="252">
  <si>
    <t>_</t>
  </si>
  <si>
    <t>1_Title</t>
  </si>
  <si>
    <t>2_Heading</t>
  </si>
  <si>
    <t>3_Heading</t>
  </si>
  <si>
    <t>4_Heading</t>
  </si>
  <si>
    <t>5_Heading</t>
  </si>
  <si>
    <t>6_Content</t>
  </si>
  <si>
    <t>Z</t>
  </si>
  <si>
    <t>Z_Critical</t>
  </si>
  <si>
    <t>Z_Highlight</t>
  </si>
  <si>
    <t>Z_Input</t>
  </si>
  <si>
    <t>Z_Instructions</t>
  </si>
  <si>
    <t>Z_Output</t>
  </si>
  <si>
    <t>Z_Warning</t>
  </si>
  <si>
    <t>_Table</t>
  </si>
  <si>
    <t>C_Table (A1)</t>
  </si>
  <si>
    <t>C_Table (A2)</t>
  </si>
  <si>
    <t>C_Table (A3)</t>
  </si>
  <si>
    <t>C_Table (A4)</t>
  </si>
  <si>
    <t>C_Table (A5)</t>
  </si>
  <si>
    <t>C_Table (A6)</t>
  </si>
  <si>
    <t>abc</t>
  </si>
  <si>
    <t>xyz</t>
  </si>
  <si>
    <t>Style Palette</t>
  </si>
  <si>
    <t>Accent:</t>
  </si>
  <si>
    <t>Lightest</t>
  </si>
  <si>
    <t>Lighter</t>
  </si>
  <si>
    <t>Light</t>
  </si>
  <si>
    <t>Normal</t>
  </si>
  <si>
    <t>Dark</t>
  </si>
  <si>
    <t>Darker</t>
  </si>
  <si>
    <t>Darkest</t>
  </si>
  <si>
    <t>ID</t>
  </si>
  <si>
    <t>R</t>
  </si>
  <si>
    <t>G</t>
  </si>
  <si>
    <t>B</t>
  </si>
  <si>
    <t>Tint/Shade</t>
  </si>
  <si>
    <t>Target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</si>
  <si>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</si>
  <si>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</si>
  <si>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</si>
  <si>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</si>
  <si>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</si>
  <si>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</si>
  <si>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</si>
  <si>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</si>
  <si>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</si>
  <si>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</si>
  <si>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</si>
  <si>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</si>
  <si>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</si>
  <si>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</si>
  <si>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</si>
  <si>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</si>
  <si>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</si>
  <si>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</si>
  <si>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Normalizer</t>
  </si>
  <si>
    <t>ROOT</t>
  </si>
  <si>
    <t>COLOR</t>
  </si>
  <si>
    <t>BACKGROUND</t>
  </si>
  <si>
    <t>ROOT color definition</t>
  </si>
  <si>
    <t>BACKGROUND classes</t>
  </si>
  <si>
    <t>COLOR classes</t>
  </si>
  <si>
    <t>Title 48</t>
  </si>
  <si>
    <t>Federal Acquisition Regulations System</t>
  </si>
  <si>
    <t>Part / Section</t>
  </si>
  <si>
    <t>Chapter 1</t>
  </si>
  <si>
    <t>Federal Acquisition Regulation</t>
  </si>
  <si>
    <t>1 – 99</t>
  </si>
  <si>
    <t>Subchapter A</t>
  </si>
  <si>
    <t>General</t>
  </si>
  <si>
    <t>1 – 4</t>
  </si>
  <si>
    <t>Part 1</t>
  </si>
  <si>
    <t>1.000 – 1.707</t>
  </si>
  <si>
    <t>Part 2</t>
  </si>
  <si>
    <t>Definitions of Words and Terms</t>
  </si>
  <si>
    <t>2.000 – 2.201</t>
  </si>
  <si>
    <t>Part 3</t>
  </si>
  <si>
    <t>Improper Business Practices and Personal Conflicts of Interest</t>
  </si>
  <si>
    <t>3.000 – 3.1106</t>
  </si>
  <si>
    <t>Part 4</t>
  </si>
  <si>
    <t>Administrative and Information Matters</t>
  </si>
  <si>
    <t>4.000 – 4.2306</t>
  </si>
  <si>
    <t>Subchapter B</t>
  </si>
  <si>
    <t>Acquisition Planning</t>
  </si>
  <si>
    <t>5 – 12</t>
  </si>
  <si>
    <t>Part 5</t>
  </si>
  <si>
    <t>Publicizing Contract Actions</t>
  </si>
  <si>
    <t>5.000 – 5.705</t>
  </si>
  <si>
    <t>Part 6</t>
  </si>
  <si>
    <t>Competition Requirements</t>
  </si>
  <si>
    <t>6.000 – 6.502</t>
  </si>
  <si>
    <t>Part 7</t>
  </si>
  <si>
    <t>7.000 – 7.503</t>
  </si>
  <si>
    <t>Part 8</t>
  </si>
  <si>
    <t>Required Sources of Supplies and Services</t>
  </si>
  <si>
    <t>8.000 – 8.1104</t>
  </si>
  <si>
    <t>Part 9</t>
  </si>
  <si>
    <t>Contractor Qualifications</t>
  </si>
  <si>
    <t>9.000 – 9.703</t>
  </si>
  <si>
    <t>Part 10</t>
  </si>
  <si>
    <t>Market Research</t>
  </si>
  <si>
    <t>10.000 – 10.003</t>
  </si>
  <si>
    <t>Part 11</t>
  </si>
  <si>
    <t>Describing Agency Needs</t>
  </si>
  <si>
    <t>11.000 – 11.801</t>
  </si>
  <si>
    <t>Part 12</t>
  </si>
  <si>
    <t>Acquisition of Commercial Products and Commercial Services</t>
  </si>
  <si>
    <t>12.000 – 12.603</t>
  </si>
  <si>
    <t>Subchapter C</t>
  </si>
  <si>
    <t>Contracting Methods and Contract Types</t>
  </si>
  <si>
    <t>13 – 18</t>
  </si>
  <si>
    <t>Part 13</t>
  </si>
  <si>
    <t>Simplified Acquisition Procedures</t>
  </si>
  <si>
    <t>13.000 – 13.501</t>
  </si>
  <si>
    <t>Part 14</t>
  </si>
  <si>
    <t>Sealed Bidding</t>
  </si>
  <si>
    <t>14.000 – 14.503-2</t>
  </si>
  <si>
    <t>Part 15</t>
  </si>
  <si>
    <t>Contracting by Negotiation</t>
  </si>
  <si>
    <t>15.000 – 15.609</t>
  </si>
  <si>
    <t>Part 16</t>
  </si>
  <si>
    <t>Types of Contracts</t>
  </si>
  <si>
    <t>16.000 – 16.703</t>
  </si>
  <si>
    <t>Part 17</t>
  </si>
  <si>
    <t>Special Contracting Methods</t>
  </si>
  <si>
    <t>17.000 – 17.805</t>
  </si>
  <si>
    <t>Part 18</t>
  </si>
  <si>
    <t>Emergency Acquisitions</t>
  </si>
  <si>
    <t>18.000 – 18.205</t>
  </si>
  <si>
    <t>Subchapter D</t>
  </si>
  <si>
    <t>Socioeconomic Programs</t>
  </si>
  <si>
    <t>19 – 26</t>
  </si>
  <si>
    <t>Part 19</t>
  </si>
  <si>
    <t>Small Business Programs</t>
  </si>
  <si>
    <t>19.000 – 19.1508</t>
  </si>
  <si>
    <t>Part 22</t>
  </si>
  <si>
    <t>Application of Labor Laws to Government Acquisitions</t>
  </si>
  <si>
    <t>22.000 – 22.2110</t>
  </si>
  <si>
    <t>Part 23</t>
  </si>
  <si>
    <t>Environment, Sustainable Acquisition, and Material Safety</t>
  </si>
  <si>
    <t>23.000 – 23.502</t>
  </si>
  <si>
    <t>Part 24</t>
  </si>
  <si>
    <t>Protection of Privacy and Freedom of Information</t>
  </si>
  <si>
    <t>24.000 – 24.302</t>
  </si>
  <si>
    <t>Part 25</t>
  </si>
  <si>
    <t>Foreign Acquisition</t>
  </si>
  <si>
    <t>25.000 – 25.1103</t>
  </si>
  <si>
    <t>Part 26</t>
  </si>
  <si>
    <t>Other Socioeconomic Programs</t>
  </si>
  <si>
    <t>26.100 – 26.605</t>
  </si>
  <si>
    <t>Subchapter E</t>
  </si>
  <si>
    <t>General Contracting Requirements</t>
  </si>
  <si>
    <t>27 – 33</t>
  </si>
  <si>
    <t>Part 27</t>
  </si>
  <si>
    <t>Patents, Data, and Copyrights</t>
  </si>
  <si>
    <t>27.000 – 27.501</t>
  </si>
  <si>
    <t>Part 28</t>
  </si>
  <si>
    <t>Bonds and Insurance</t>
  </si>
  <si>
    <t>28.000 – 28.313</t>
  </si>
  <si>
    <t>Part 29</t>
  </si>
  <si>
    <t>Taxes</t>
  </si>
  <si>
    <t>29.000 – 29.402-4</t>
  </si>
  <si>
    <t>Part 30</t>
  </si>
  <si>
    <t>Cost Accounting Standards Administration</t>
  </si>
  <si>
    <t>30.000 – 30.607</t>
  </si>
  <si>
    <t>Part 31</t>
  </si>
  <si>
    <t>Contract Cost Principles and Procedures</t>
  </si>
  <si>
    <t>31.000 – 31.703</t>
  </si>
  <si>
    <t>Part 32</t>
  </si>
  <si>
    <t>Contract Financing</t>
  </si>
  <si>
    <t>32.000 – 32.1110</t>
  </si>
  <si>
    <t>Part 33</t>
  </si>
  <si>
    <t>Protests, Disputes, and Appeals</t>
  </si>
  <si>
    <t>33.000 – 33.215</t>
  </si>
  <si>
    <t>Subchapter F</t>
  </si>
  <si>
    <t>Special Categories of Contracting</t>
  </si>
  <si>
    <t>34 – 41</t>
  </si>
  <si>
    <t>Part 34</t>
  </si>
  <si>
    <t>Major System Acquisition</t>
  </si>
  <si>
    <t>34.000 – 34.203</t>
  </si>
  <si>
    <t>Part 35</t>
  </si>
  <si>
    <t>Research and Development Contracting</t>
  </si>
  <si>
    <t>35.000 – 35.017-7</t>
  </si>
  <si>
    <t>Part 36</t>
  </si>
  <si>
    <t>Construction and Architect-Engineer Contracts</t>
  </si>
  <si>
    <t>36.000 – 36.702</t>
  </si>
  <si>
    <t>Part 37</t>
  </si>
  <si>
    <t>Service Contracting</t>
  </si>
  <si>
    <t>37.000 – 37.604</t>
  </si>
  <si>
    <t>Part 38</t>
  </si>
  <si>
    <t>Federal Supply Schedule Contracting</t>
  </si>
  <si>
    <t>38.000 – 38.201</t>
  </si>
  <si>
    <t>Part 39</t>
  </si>
  <si>
    <t>Acquisition of Information Technology</t>
  </si>
  <si>
    <t>39.000 – 39.205</t>
  </si>
  <si>
    <t>Part 40</t>
  </si>
  <si>
    <t>Information Security and Supply Chain Security</t>
  </si>
  <si>
    <t>40.000 – 40.202-8</t>
  </si>
  <si>
    <t>Part 41</t>
  </si>
  <si>
    <t>Acquisition of Utility Services</t>
  </si>
  <si>
    <t>41.100 – 41.702</t>
  </si>
  <si>
    <t>Subchapter G</t>
  </si>
  <si>
    <t>Contract Management</t>
  </si>
  <si>
    <t>42 – 51</t>
  </si>
  <si>
    <t>Part 42</t>
  </si>
  <si>
    <t>Contract Administration and Audit Services</t>
  </si>
  <si>
    <t>42.000 – 42.1701</t>
  </si>
  <si>
    <t>Part 43</t>
  </si>
  <si>
    <t>Contract Modifications</t>
  </si>
  <si>
    <t>43.000 – 43.301</t>
  </si>
  <si>
    <t>Part 44</t>
  </si>
  <si>
    <t>Subcontracting Policies and Procedures</t>
  </si>
  <si>
    <t>44.000 – 44.403</t>
  </si>
  <si>
    <t>Part 45</t>
  </si>
  <si>
    <t>Government Property</t>
  </si>
  <si>
    <t>45.000 – 45.606</t>
  </si>
  <si>
    <t>Part 46</t>
  </si>
  <si>
    <t>Quality Assurance</t>
  </si>
  <si>
    <t>46.000 – 46.805</t>
  </si>
  <si>
    <t>Part 47</t>
  </si>
  <si>
    <t>Transportation</t>
  </si>
  <si>
    <t>47.000 – 47.507</t>
  </si>
  <si>
    <t>Part 48</t>
  </si>
  <si>
    <t>Value Engineering</t>
  </si>
  <si>
    <t>48.000 – 48.202</t>
  </si>
  <si>
    <t>Part 49</t>
  </si>
  <si>
    <t>Termination of Contracts</t>
  </si>
  <si>
    <t>49.000 – 49.607</t>
  </si>
  <si>
    <t>Part 50</t>
  </si>
  <si>
    <t>Extraordinary Contractual Actions and the SAFETY Act</t>
  </si>
  <si>
    <t>50.000 – 50.206</t>
  </si>
  <si>
    <t>Part 51</t>
  </si>
  <si>
    <t>Use of Government Sources by Contractors</t>
  </si>
  <si>
    <t>51.000 – 51.205</t>
  </si>
  <si>
    <t>Subchapter H</t>
  </si>
  <si>
    <t>Clauses and Forms</t>
  </si>
  <si>
    <t>52 – 99</t>
  </si>
  <si>
    <t>Part 52</t>
  </si>
  <si>
    <t>Solicitation Provisions and Contract Clauses</t>
  </si>
  <si>
    <t>52.000 – 52.301</t>
  </si>
  <si>
    <t>Part 53</t>
  </si>
  <si>
    <t>Forms</t>
  </si>
  <si>
    <t>53.000 – 53.300</t>
  </si>
  <si>
    <t>https://www.ecfr.gov/current/title-48/chapter-1</t>
  </si>
  <si>
    <t>Part 20</t>
  </si>
  <si>
    <t>Part 21</t>
  </si>
  <si>
    <t>[Reserved]</t>
  </si>
  <si>
    <t>d</t>
  </si>
  <si>
    <t>Index</t>
  </si>
  <si>
    <t>Color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</si>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</sst>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4" tint="-0.24994659260841701"/>
      <name val="Calibri Light"/>
      <family val="2"/>
      <scheme val="major"/>
    </font>
    <font>
      <sz val="16"/>
      <color theme="5" tint="-0.24994659260841701"/>
      <name val="Calibri Light"/>
      <family val="2"/>
      <scheme val="major"/>
    </font>
    <font>
      <sz val="16"/>
      <color theme="6" tint="-0.24994659260841701"/>
      <name val="Calibri Light"/>
      <family val="2"/>
      <scheme val="major"/>
    </font>
    <font>
      <sz val="16"/>
      <color theme="7" tint="-0.24994659260841701"/>
      <name val="Calibri Light"/>
      <family val="2"/>
      <scheme val="major"/>
    </font>
    <font>
      <sz val="16"/>
      <color theme="8" tint="-0.24994659260841701"/>
      <name val="Calibri Light"/>
      <family val="2"/>
      <scheme val="major"/>
    </font>
    <font>
      <sz val="16"/>
      <color theme="9" tint="-0.24994659260841701"/>
      <name val="Calibri Light"/>
      <family val="2"/>
      <scheme val="major"/>
    </font>
    <font>
      <sz val="14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FF0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24994659260841701"/>
      <name val="Calibri"/>
      <family val="2"/>
      <scheme val="minor"/>
    </font>
    <font>
      <i/>
      <sz val="10"/>
      <color theme="4" tint="-0.2499465926084170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i/>
      <sz val="10"/>
      <color theme="5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i/>
      <sz val="10"/>
      <color theme="6" tint="-0.24994659260841701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i/>
      <sz val="10"/>
      <color theme="7" tint="-0.24994659260841701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i/>
      <sz val="10"/>
      <color theme="8" tint="-0.24994659260841701"/>
      <name val="Calibri"/>
      <family val="2"/>
      <scheme val="minor"/>
    </font>
    <font>
      <sz val="11"/>
      <color theme="9" tint="-0.24994659260841701"/>
      <name val="Calibri"/>
      <family val="2"/>
      <scheme val="minor"/>
    </font>
    <font>
      <i/>
      <sz val="10"/>
      <color theme="9" tint="-0.24994659260841701"/>
      <name val="Calibri"/>
      <family val="2"/>
      <scheme val="minor"/>
    </font>
    <font>
      <b/>
      <sz val="11"/>
      <color theme="4" tint="-0.24994659260841701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theme="6" tint="-0.24994659260841701"/>
      <name val="Calibri"/>
      <family val="2"/>
      <scheme val="minor"/>
    </font>
    <font>
      <b/>
      <sz val="11"/>
      <color theme="7" tint="-0.24994659260841701"/>
      <name val="Calibri"/>
      <family val="2"/>
      <scheme val="minor"/>
    </font>
    <font>
      <b/>
      <sz val="11"/>
      <color theme="8" tint="-0.24994659260841701"/>
      <name val="Calibri"/>
      <family val="2"/>
      <scheme val="minor"/>
    </font>
    <font>
      <b/>
      <sz val="11"/>
      <color theme="9" tint="-0.2499465926084170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mediumGray">
        <fgColor theme="4" tint="0.79995117038483843"/>
        <bgColor indexed="65"/>
      </patternFill>
    </fill>
    <fill>
      <patternFill patternType="mediumGray">
        <fgColor theme="5" tint="0.79995117038483843"/>
        <bgColor indexed="65"/>
      </patternFill>
    </fill>
    <fill>
      <patternFill patternType="mediumGray">
        <fgColor theme="6" tint="0.79995117038483843"/>
        <bgColor indexed="65"/>
      </patternFill>
    </fill>
    <fill>
      <patternFill patternType="mediumGray">
        <fgColor theme="7" tint="0.79995117038483843"/>
        <bgColor indexed="65"/>
      </patternFill>
    </fill>
    <fill>
      <patternFill patternType="mediumGray">
        <fgColor theme="8" tint="0.79995117038483843"/>
        <bgColor indexed="65"/>
      </patternFill>
    </fill>
    <fill>
      <patternFill patternType="mediumGray">
        <fgColor theme="9" tint="0.79995117038483843"/>
        <bgColor indexed="65"/>
      </patternFill>
    </fill>
    <fill>
      <patternFill patternType="lightTrellis">
        <fgColor rgb="FFC00000"/>
        <bgColor rgb="FFFF0000"/>
      </patternFill>
    </fill>
    <fill>
      <patternFill patternType="solid">
        <fgColor rgb="FFFFFF00"/>
        <bgColor auto="1"/>
      </patternFill>
    </fill>
    <fill>
      <patternFill patternType="solid">
        <fgColor rgb="FF00B0F0"/>
        <bgColor auto="1"/>
      </patternFill>
    </fill>
    <fill>
      <patternFill patternType="solid">
        <fgColor rgb="FF92D050"/>
        <bgColor auto="1"/>
      </patternFill>
    </fill>
    <fill>
      <patternFill patternType="lightGrid">
        <fgColor theme="0" tint="-0.24994659260841701"/>
        <bgColor theme="0" tint="-0.14996795556505021"/>
      </patternFill>
    </fill>
    <fill>
      <patternFill patternType="mediumGray">
        <fgColor rgb="FFFFC000"/>
        <bgColor rgb="FFFFFF00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-0.24994659260841701"/>
      </bottom>
      <diagonal/>
    </border>
    <border>
      <left/>
      <right/>
      <top/>
      <bottom style="thick">
        <color theme="5" tint="-0.24994659260841701"/>
      </bottom>
      <diagonal/>
    </border>
    <border>
      <left/>
      <right/>
      <top/>
      <bottom style="thick">
        <color theme="6" tint="-0.24994659260841701"/>
      </bottom>
      <diagonal/>
    </border>
    <border>
      <left/>
      <right/>
      <top/>
      <bottom style="thick">
        <color theme="7" tint="-0.24994659260841701"/>
      </bottom>
      <diagonal/>
    </border>
    <border>
      <left/>
      <right/>
      <top/>
      <bottom style="thick">
        <color theme="8" tint="-0.24994659260841701"/>
      </bottom>
      <diagonal/>
    </border>
    <border>
      <left/>
      <right/>
      <top/>
      <bottom style="thick">
        <color theme="9" tint="-0.24994659260841701"/>
      </bottom>
      <diagonal/>
    </border>
    <border>
      <left/>
      <right/>
      <top style="thick">
        <color theme="4" tint="-0.499984740745262"/>
      </top>
      <bottom style="thick">
        <color theme="4" tint="-0.499984740745262"/>
      </bottom>
      <diagonal/>
    </border>
    <border>
      <left/>
      <right/>
      <top style="thick">
        <color theme="5" tint="-0.499984740745262"/>
      </top>
      <bottom style="thick">
        <color theme="5" tint="-0.499984740745262"/>
      </bottom>
      <diagonal/>
    </border>
    <border>
      <left/>
      <right/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thick">
        <color theme="7" tint="-0.499984740745262"/>
      </top>
      <bottom style="thick">
        <color theme="7" tint="-0.499984740745262"/>
      </bottom>
      <diagonal/>
    </border>
    <border>
      <left/>
      <right/>
      <top style="thick">
        <color theme="8" tint="-0.499984740745262"/>
      </top>
      <bottom style="thick">
        <color theme="8" tint="-0.499984740745262"/>
      </bottom>
      <diagonal/>
    </border>
    <border>
      <left/>
      <right/>
      <top style="thick">
        <color theme="9" tint="-0.499984740745262"/>
      </top>
      <bottom style="thick">
        <color theme="9" tint="-0.499984740745262"/>
      </bottom>
      <diagonal/>
    </border>
    <border>
      <left/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/>
      <top style="thick">
        <color theme="5" tint="-0.24994659260841701"/>
      </top>
      <bottom style="thick">
        <color theme="5" tint="-0.24994659260841701"/>
      </bottom>
      <diagonal/>
    </border>
    <border>
      <left/>
      <right/>
      <top style="thick">
        <color theme="6" tint="-0.24994659260841701"/>
      </top>
      <bottom style="thick">
        <color theme="6" tint="-0.24994659260841701"/>
      </bottom>
      <diagonal/>
    </border>
    <border>
      <left/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  <border>
      <left/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slantDashDot">
        <color rgb="FFFFC000"/>
      </left>
      <right style="slantDashDot">
        <color rgb="FFFFC000"/>
      </right>
      <top style="slantDashDot">
        <color rgb="FFFFC000"/>
      </top>
      <bottom style="slantDashDot">
        <color rgb="FFFFC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Dashed">
        <color indexed="10"/>
      </left>
      <right style="mediumDashed">
        <color indexed="10"/>
      </right>
      <top style="mediumDashed">
        <color indexed="10"/>
      </top>
      <bottom style="mediumDashed">
        <color indexed="10"/>
      </bottom>
      <diagonal/>
    </border>
  </borders>
  <cellStyleXfs count="45">
    <xf numFmtId="0" fontId="0" fillId="0" borderId="0"/>
    <xf numFmtId="0" fontId="5" fillId="0" borderId="2" applyNumberFormat="0" applyAlignment="0" applyProtection="0"/>
    <xf numFmtId="0" fontId="6" fillId="0" borderId="3" applyNumberFormat="0" applyAlignment="0" applyProtection="0"/>
    <xf numFmtId="0" fontId="7" fillId="0" borderId="4" applyNumberFormat="0" applyAlignment="0" applyProtection="0"/>
    <xf numFmtId="0" fontId="8" fillId="0" borderId="5" applyNumberFormat="0" applyAlignment="0" applyProtection="0"/>
    <xf numFmtId="0" fontId="9" fillId="0" borderId="6" applyNumberFormat="0" applyAlignment="0" applyProtection="0"/>
    <xf numFmtId="0" fontId="10" fillId="0" borderId="7" applyNumberFormat="0" applyAlignment="0" applyProtection="0"/>
    <xf numFmtId="0" fontId="11" fillId="32" borderId="8" applyNumberFormat="0" applyAlignment="0" applyProtection="0"/>
    <xf numFmtId="0" fontId="11" fillId="33" borderId="9" applyNumberFormat="0" applyAlignment="0" applyProtection="0"/>
    <xf numFmtId="0" fontId="11" fillId="34" borderId="10" applyNumberFormat="0" applyAlignment="0" applyProtection="0"/>
    <xf numFmtId="0" fontId="11" fillId="35" borderId="11" applyNumberFormat="0" applyAlignment="0" applyProtection="0"/>
    <xf numFmtId="0" fontId="11" fillId="36" borderId="12" applyNumberFormat="0" applyAlignment="0" applyProtection="0"/>
    <xf numFmtId="0" fontId="11" fillId="37" borderId="13" applyNumberFormat="0" applyAlignment="0" applyProtection="0"/>
    <xf numFmtId="0" fontId="16" fillId="2" borderId="14" applyNumberFormat="0" applyAlignment="0" applyProtection="0"/>
    <xf numFmtId="0" fontId="16" fillId="3" borderId="15" applyNumberFormat="0" applyAlignment="0" applyProtection="0"/>
    <xf numFmtId="0" fontId="16" fillId="4" borderId="16" applyNumberFormat="0" applyAlignment="0" applyProtection="0"/>
    <xf numFmtId="0" fontId="16" fillId="5" borderId="17" applyNumberFormat="0" applyAlignment="0" applyProtection="0"/>
    <xf numFmtId="0" fontId="16" fillId="6" borderId="18" applyNumberFormat="0" applyAlignment="0" applyProtection="0"/>
    <xf numFmtId="0" fontId="16" fillId="7" borderId="19" applyNumberFormat="0" applyAlignment="0" applyProtection="0"/>
    <xf numFmtId="0" fontId="29" fillId="8" borderId="14" applyNumberFormat="0" applyAlignment="0" applyProtection="0"/>
    <xf numFmtId="0" fontId="30" fillId="9" borderId="15" applyNumberFormat="0" applyAlignment="0" applyProtection="0"/>
    <xf numFmtId="0" fontId="31" fillId="10" borderId="16" applyNumberFormat="0" applyAlignment="0" applyProtection="0"/>
    <xf numFmtId="0" fontId="32" fillId="11" borderId="17" applyNumberFormat="0" applyAlignment="0" applyProtection="0"/>
    <xf numFmtId="0" fontId="33" fillId="12" borderId="18" applyNumberFormat="0" applyAlignment="0" applyProtection="0"/>
    <xf numFmtId="0" fontId="34" fillId="13" borderId="19" applyNumberFormat="0" applyAlignment="0" applyProtection="0"/>
    <xf numFmtId="0" fontId="17" fillId="14" borderId="20" applyNumberFormat="0" applyAlignment="0" applyProtection="0"/>
    <xf numFmtId="0" fontId="19" fillId="15" borderId="21" applyNumberFormat="0" applyAlignment="0" applyProtection="0"/>
    <xf numFmtId="0" fontId="21" fillId="16" borderId="22" applyNumberFormat="0" applyAlignment="0" applyProtection="0"/>
    <xf numFmtId="0" fontId="23" fillId="17" borderId="23" applyNumberFormat="0" applyAlignment="0" applyProtection="0"/>
    <xf numFmtId="0" fontId="25" fillId="18" borderId="24" applyNumberFormat="0" applyAlignment="0" applyProtection="0"/>
    <xf numFmtId="0" fontId="27" fillId="19" borderId="25" applyNumberFormat="0" applyAlignment="0" applyProtection="0"/>
    <xf numFmtId="0" fontId="18" fillId="20" borderId="26" applyNumberFormat="0" applyAlignment="0" applyProtection="0"/>
    <xf numFmtId="0" fontId="20" fillId="21" borderId="27" applyNumberFormat="0" applyAlignment="0" applyProtection="0"/>
    <xf numFmtId="0" fontId="22" fillId="22" borderId="28" applyNumberFormat="0" applyAlignment="0" applyProtection="0"/>
    <xf numFmtId="0" fontId="24" fillId="23" borderId="29" applyNumberFormat="0" applyAlignment="0" applyProtection="0"/>
    <xf numFmtId="0" fontId="26" fillId="24" borderId="30" applyNumberFormat="0" applyAlignment="0" applyProtection="0"/>
    <xf numFmtId="0" fontId="28" fillId="25" borderId="31" applyNumberFormat="0" applyAlignment="0" applyProtection="0"/>
    <xf numFmtId="0" fontId="13" fillId="26" borderId="32" applyNumberFormat="0" applyAlignment="0" applyProtection="0">
      <alignment horizontal="center" vertical="center"/>
    </xf>
    <xf numFmtId="0" fontId="14" fillId="27" borderId="33" applyNumberFormat="0" applyAlignment="0" applyProtection="0">
      <alignment horizontal="center" vertical="center" wrapText="1"/>
    </xf>
    <xf numFmtId="0" fontId="3" fillId="28" borderId="34" applyNumberFormat="0" applyAlignment="0" applyProtection="0">
      <alignment horizontal="center" vertical="center"/>
    </xf>
    <xf numFmtId="0" fontId="1" fillId="29" borderId="35" applyNumberFormat="0" applyAlignment="0" applyProtection="0">
      <alignment horizontal="center" vertical="center"/>
    </xf>
    <xf numFmtId="0" fontId="1" fillId="30" borderId="36" applyNumberFormat="0" applyAlignment="0" applyProtection="0">
      <alignment horizontal="center" vertical="center"/>
    </xf>
    <xf numFmtId="0" fontId="15" fillId="31" borderId="37" applyNumberFormat="0" applyAlignment="0" applyProtection="0">
      <alignment horizontal="center" vertical="center" wrapText="1"/>
    </xf>
    <xf numFmtId="0" fontId="3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26" borderId="32" xfId="37" applyAlignment="1">
      <alignment horizontal="center" vertical="center"/>
    </xf>
    <xf numFmtId="0" fontId="14" fillId="27" borderId="33" xfId="38" applyAlignment="1">
      <alignment horizontal="center" vertical="center" wrapText="1"/>
    </xf>
    <xf numFmtId="0" fontId="3" fillId="28" borderId="34" xfId="39" applyAlignment="1">
      <alignment horizontal="center" vertical="center"/>
    </xf>
    <xf numFmtId="0" fontId="1" fillId="29" borderId="35" xfId="40" applyAlignment="1">
      <alignment horizontal="center" vertical="center"/>
    </xf>
    <xf numFmtId="0" fontId="1" fillId="30" borderId="36" xfId="41" applyAlignment="1">
      <alignment horizontal="center" vertical="center"/>
    </xf>
    <xf numFmtId="0" fontId="15" fillId="31" borderId="37" xfId="42" applyAlignment="1">
      <alignment horizontal="center" vertical="center" wrapText="1"/>
    </xf>
    <xf numFmtId="0" fontId="5" fillId="0" borderId="2" xfId="1" applyAlignment="1"/>
    <xf numFmtId="0" fontId="11" fillId="32" borderId="8" xfId="7"/>
    <xf numFmtId="0" fontId="16" fillId="2" borderId="14" xfId="13"/>
    <xf numFmtId="0" fontId="29" fillId="8" borderId="14" xfId="19"/>
    <xf numFmtId="0" fontId="17" fillId="14" borderId="20" xfId="25"/>
    <xf numFmtId="0" fontId="18" fillId="20" borderId="26" xfId="31"/>
    <xf numFmtId="0" fontId="6" fillId="0" borderId="3" xfId="2" applyAlignment="1"/>
    <xf numFmtId="0" fontId="11" fillId="33" borderId="9" xfId="8"/>
    <xf numFmtId="0" fontId="16" fillId="3" borderId="15" xfId="14"/>
    <xf numFmtId="0" fontId="30" fillId="9" borderId="15" xfId="20"/>
    <xf numFmtId="0" fontId="19" fillId="15" borderId="21" xfId="26"/>
    <xf numFmtId="0" fontId="20" fillId="21" borderId="27" xfId="32"/>
    <xf numFmtId="0" fontId="7" fillId="0" borderId="4" xfId="3" applyAlignment="1"/>
    <xf numFmtId="0" fontId="11" fillId="34" borderId="10" xfId="9"/>
    <xf numFmtId="0" fontId="16" fillId="4" borderId="16" xfId="15"/>
    <xf numFmtId="0" fontId="31" fillId="10" borderId="16" xfId="21"/>
    <xf numFmtId="0" fontId="21" fillId="16" borderId="22" xfId="27"/>
    <xf numFmtId="0" fontId="22" fillId="22" borderId="28" xfId="33"/>
    <xf numFmtId="0" fontId="8" fillId="0" borderId="5" xfId="4" applyAlignment="1"/>
    <xf numFmtId="0" fontId="11" fillId="35" borderId="11" xfId="10"/>
    <xf numFmtId="0" fontId="16" fillId="5" borderId="17" xfId="16"/>
    <xf numFmtId="0" fontId="32" fillId="11" borderId="17" xfId="22"/>
    <xf numFmtId="0" fontId="23" fillId="17" borderId="23" xfId="28"/>
    <xf numFmtId="0" fontId="24" fillId="23" borderId="29" xfId="34"/>
    <xf numFmtId="0" fontId="9" fillId="0" borderId="6" xfId="5" applyAlignment="1"/>
    <xf numFmtId="0" fontId="11" fillId="36" borderId="12" xfId="11"/>
    <xf numFmtId="0" fontId="16" fillId="6" borderId="18" xfId="17"/>
    <xf numFmtId="0" fontId="33" fillId="12" borderId="18" xfId="23"/>
    <xf numFmtId="0" fontId="25" fillId="18" borderId="24" xfId="29"/>
    <xf numFmtId="0" fontId="26" fillId="24" borderId="30" xfId="35"/>
    <xf numFmtId="0" fontId="10" fillId="0" borderId="7" xfId="6" applyAlignment="1"/>
    <xf numFmtId="0" fontId="11" fillId="37" borderId="13" xfId="12"/>
    <xf numFmtId="0" fontId="16" fillId="7" borderId="19" xfId="18"/>
    <xf numFmtId="0" fontId="34" fillId="13" borderId="19" xfId="24"/>
    <xf numFmtId="0" fontId="27" fillId="19" borderId="25" xfId="30"/>
    <xf numFmtId="0" fontId="28" fillId="25" borderId="31" xfId="36"/>
    <xf numFmtId="0" fontId="3" fillId="28" borderId="34" xfId="39" applyAlignment="1"/>
    <xf numFmtId="9" fontId="3" fillId="28" borderId="34" xfId="39" applyNumberFormat="1" applyAlignment="1"/>
    <xf numFmtId="0" fontId="1" fillId="30" borderId="36" xfId="41" applyAlignment="1"/>
    <xf numFmtId="0" fontId="22" fillId="22" borderId="28" xfId="33" applyAlignment="1">
      <alignment horizontal="center"/>
    </xf>
    <xf numFmtId="0" fontId="0" fillId="30" borderId="36" xfId="41" applyFont="1" applyAlignment="1"/>
    <xf numFmtId="0" fontId="0" fillId="38" borderId="0" xfId="0" applyFill="1"/>
    <xf numFmtId="0" fontId="21" fillId="16" borderId="22" xfId="27" applyAlignment="1">
      <alignment horizontal="center"/>
    </xf>
    <xf numFmtId="0" fontId="31" fillId="10" borderId="16" xfId="21" applyAlignment="1">
      <alignment horizontal="center"/>
    </xf>
    <xf numFmtId="0" fontId="36" fillId="0" borderId="0" xfId="43"/>
    <xf numFmtId="0" fontId="4" fillId="0" borderId="1" xfId="0" applyFont="1" applyBorder="1" applyAlignment="1">
      <alignment horizontal="center"/>
    </xf>
    <xf numFmtId="0" fontId="21" fillId="16" borderId="22" xfId="27" applyAlignment="1">
      <alignment horizontal="center"/>
    </xf>
    <xf numFmtId="9" fontId="0" fillId="0" borderId="0" xfId="44" applyFont="1"/>
  </cellXfs>
  <cellStyles count="45">
    <cellStyle name="C1_Title (A1)" xfId="1" xr:uid="{11C474E7-1DE3-465F-A786-7C45D4502863}"/>
    <cellStyle name="C1_Title (A2)" xfId="2" xr:uid="{5DD0A6D0-22AD-4269-BF1F-C35FDE0F2F58}"/>
    <cellStyle name="C1_Title (A3)" xfId="3" xr:uid="{EB385992-CACD-4BD6-A520-8D03EEA16DC1}"/>
    <cellStyle name="C1_Title (A4)" xfId="4" xr:uid="{E0D12640-7679-49A8-903A-B6ED30166C1A}"/>
    <cellStyle name="C1_Title (A5)" xfId="5" xr:uid="{75DE54DE-0782-454A-A202-6F54C2C93AB7}"/>
    <cellStyle name="C1_Title (A6)" xfId="6" xr:uid="{4B3ED6BA-C213-49E7-8119-BCDF3D8B2527}"/>
    <cellStyle name="C2_Heading (A1)" xfId="7" xr:uid="{141CC29D-3AED-464F-9A4F-64A2FBD2879F}"/>
    <cellStyle name="C2_Heading (A2)" xfId="8" xr:uid="{DCF4A105-408E-4801-87BD-C725E2E0CA76}"/>
    <cellStyle name="C2_Heading (A3)" xfId="9" xr:uid="{E0E9960B-26FD-4D1F-8950-EFAA15746E8B}"/>
    <cellStyle name="C2_Heading (A4)" xfId="10" xr:uid="{B74D9ED7-A6E0-4FA3-99CC-ACBB7B1EF20E}"/>
    <cellStyle name="C2_Heading (A5)" xfId="11" xr:uid="{7A9E622C-110B-4CB0-8E7D-B084AF088E37}"/>
    <cellStyle name="C2_Heading (A6)" xfId="12" xr:uid="{0915527C-F547-4A71-8D00-4908DFB8FDDA}"/>
    <cellStyle name="C3_Heading (A1)" xfId="13" xr:uid="{8DF85DB7-0797-40B6-B127-8A033CB04201}"/>
    <cellStyle name="C3_Heading (A2)" xfId="14" xr:uid="{D0F1D932-E40F-42ED-AE0D-DE04951D5FD2}"/>
    <cellStyle name="C3_Heading (A3)" xfId="15" xr:uid="{D1E0FEE0-C9E1-4267-B52C-0F1FCAB6BBBF}"/>
    <cellStyle name="C3_Heading (A4)" xfId="16" xr:uid="{5BE83C5C-768A-4D0C-B2C1-67ECDF6FC43D}"/>
    <cellStyle name="C3_Heading (A5)" xfId="17" xr:uid="{B03B8706-3B9D-49CF-9548-E3FEB4A683A9}"/>
    <cellStyle name="C3_Heading (A6)" xfId="18" xr:uid="{5F356187-F303-4096-BE02-EBA89DF540F3}"/>
    <cellStyle name="C4_Heading (A1)" xfId="19" xr:uid="{93FF28CD-B10D-49EF-A12D-388B06019F60}"/>
    <cellStyle name="C4_Heading (A2)" xfId="20" xr:uid="{BC0660B8-59B3-48C1-B02E-D9C89CAC3C24}"/>
    <cellStyle name="C4_Heading (A3)" xfId="21" xr:uid="{E156B15A-D72A-4743-9464-D278B6BC759A}"/>
    <cellStyle name="C4_Heading (A4)" xfId="22" xr:uid="{BA133D31-E4CF-4B58-A70C-5147654DCC3B}"/>
    <cellStyle name="C4_Heading (A5)" xfId="23" xr:uid="{E9F063BA-D332-4C66-8091-6B633BF23F7F}"/>
    <cellStyle name="C4_Heading (A6)" xfId="24" xr:uid="{E3969247-9267-40C8-86AB-CCE9FC51CFEB}"/>
    <cellStyle name="C5_Heading (A1)" xfId="25" xr:uid="{3FAA29A7-0BEA-4015-B0C6-99ECA992B6E4}"/>
    <cellStyle name="C5_Heading (A2)" xfId="26" xr:uid="{51267981-05BB-4F57-A0C1-1B668C6044D3}"/>
    <cellStyle name="C5_Heading (A3)" xfId="27" xr:uid="{43DB639D-87B0-4A30-8187-DCE1C9B385D9}"/>
    <cellStyle name="C5_Heading (A4)" xfId="28" xr:uid="{D7D9F59D-B399-4A0F-9557-246626F1B79D}"/>
    <cellStyle name="C5_Heading (A5)" xfId="29" xr:uid="{1DF9AEF3-D86E-48AD-98DE-B03BB9E04151}"/>
    <cellStyle name="C5_Heading (A6)" xfId="30" xr:uid="{708D0ACC-CD09-4CEA-810D-8E52A0C30DD2}"/>
    <cellStyle name="C6_Content (A1)" xfId="31" xr:uid="{B5188817-F039-4453-916F-DD433F522E3E}"/>
    <cellStyle name="C6_Content (A2)" xfId="32" xr:uid="{9C4F8A20-0B81-40C1-BFB9-559940D3194F}"/>
    <cellStyle name="C6_Content (A3)" xfId="33" xr:uid="{BA2A440C-FE1A-4BE0-A9EB-D4A8678FECCB}"/>
    <cellStyle name="C6_Content (A4)" xfId="34" xr:uid="{102B53DC-FDC9-4B8F-99D7-A9B1F8CD2A37}"/>
    <cellStyle name="C6_Content (A5)" xfId="35" xr:uid="{9C26B401-06C1-470F-B1AF-9F481A232472}"/>
    <cellStyle name="C6_Content (A6)" xfId="36" xr:uid="{DBFF4EF3-9F4C-4BFF-9823-6F82DAAC5F57}"/>
    <cellStyle name="Hyperlink" xfId="43" builtinId="8"/>
    <cellStyle name="Normal" xfId="0" builtinId="0"/>
    <cellStyle name="Percent" xfId="44" builtinId="5"/>
    <cellStyle name="Z_Critical" xfId="37" xr:uid="{11CE6E0D-5DAC-4CBE-A720-DDB0BBDBE25D}"/>
    <cellStyle name="Z_Highlight" xfId="38" xr:uid="{C61D5A41-208E-427F-8696-873F3500F534}"/>
    <cellStyle name="Z_Input" xfId="39" xr:uid="{41AE48E7-F7D1-4A85-B92E-4A336BA0A7F3}"/>
    <cellStyle name="Z_Instructions" xfId="40" xr:uid="{C63E5F27-AC05-47B1-9E3E-B02C3E5DBFD6}"/>
    <cellStyle name="Z_Output" xfId="41" xr:uid="{F837D01A-20E0-4392-A2C7-A7581459A84C}"/>
    <cellStyle name="Z_Warning" xfId="42" xr:uid="{E18A648F-95D9-4C20-AF4C-E149DF57625E}"/>
  </cellStyles>
  <dxfs count="66">
    <dxf>
      <fill>
        <patternFill>
          <bgColor theme="9" tint="0.59996337778862885"/>
        </patternFill>
      </fill>
      <border>
        <top style="medium">
          <color theme="9" tint="-0.499984740745262"/>
        </top>
        <bottom style="medium">
          <color theme="9" tint="-0.499984740745262"/>
        </bottom>
      </border>
    </dxf>
    <dxf>
      <fill>
        <patternFill>
          <bgColor theme="9" tint="0.39991454817346722"/>
        </patternFill>
      </fill>
      <border>
        <top style="medium">
          <color theme="9" tint="-0.499984740745262"/>
        </top>
        <bottom style="medium">
          <color theme="9" tint="-0.499984740745262"/>
        </bottom>
      </border>
    </dxf>
    <dxf>
      <fill>
        <patternFill>
          <bgColor theme="9" tint="0.59996337778862885"/>
        </patternFill>
      </fill>
      <border>
        <top style="medium">
          <color theme="9" tint="-0.499984740745262"/>
        </top>
        <bottom style="thick">
          <color theme="9" tint="-0.499984740745262"/>
        </bottom>
      </border>
    </dxf>
    <dxf>
      <fill>
        <patternFill>
          <bgColor theme="9" tint="0.39991454817346722"/>
        </patternFill>
      </fill>
      <border>
        <top style="medium">
          <color theme="9" tint="-0.499984740745262"/>
        </top>
        <bottom style="medium">
          <color theme="9" tint="-0.499984740745262"/>
        </bottom>
      </border>
    </dxf>
    <dxf>
      <fill>
        <patternFill>
          <bgColor theme="9" tint="0.59996337778862885"/>
        </patternFill>
      </fill>
      <border>
        <left style="medium">
          <color theme="9" tint="-0.499984740745262"/>
        </left>
        <right style="medium">
          <color theme="9" tint="-0.499984740745262"/>
        </right>
      </border>
    </dxf>
    <dxf>
      <fill>
        <patternFill>
          <bgColor theme="9" tint="0.39991454817346722"/>
        </patternFill>
      </fill>
      <border>
        <left style="medium">
          <color theme="9" tint="-0.499984740745262"/>
        </left>
        <right style="medium">
          <color theme="9" tint="-0.499984740745262"/>
        </right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  <border>
        <top style="thick">
          <color theme="9" tint="-0.499984740745262"/>
        </top>
        <bottom style="thick">
          <color theme="9" tint="-0.499984740745262"/>
        </bottom>
      </border>
    </dxf>
    <dxf>
      <font>
        <b/>
        <i val="0"/>
        <color theme="0"/>
      </font>
      <fill>
        <patternFill>
          <bgColor theme="9" tint="-0.24994659260841701"/>
        </patternFill>
      </fill>
      <border>
        <top style="medium">
          <color theme="9" tint="-0.499984740745262"/>
        </top>
        <bottom style="thick">
          <color theme="9" tint="-0.499984740745262"/>
        </bottom>
      </border>
    </dxf>
    <dxf>
      <fill>
        <patternFill>
          <bgColor theme="9" tint="0.79995117038483843"/>
        </patternFill>
      </fill>
      <border>
        <horizontal style="dotted">
          <color theme="9"/>
        </horizontal>
      </border>
    </dxf>
    <dxf>
      <fill>
        <patternFill>
          <bgColor theme="8" tint="0.59996337778862885"/>
        </patternFill>
      </fill>
      <border>
        <top style="medium">
          <color theme="8" tint="-0.499984740745262"/>
        </top>
        <bottom style="medium">
          <color theme="8" tint="-0.499984740745262"/>
        </bottom>
      </border>
    </dxf>
    <dxf>
      <fill>
        <patternFill>
          <bgColor theme="8" tint="0.39991454817346722"/>
        </patternFill>
      </fill>
      <border>
        <top style="medium">
          <color theme="8" tint="-0.499984740745262"/>
        </top>
        <bottom style="medium">
          <color theme="8" tint="-0.499984740745262"/>
        </bottom>
      </border>
    </dxf>
    <dxf>
      <fill>
        <patternFill>
          <bgColor theme="8" tint="0.59996337778862885"/>
        </patternFill>
      </fill>
      <border>
        <top style="medium">
          <color theme="8" tint="-0.499984740745262"/>
        </top>
        <bottom style="thick">
          <color theme="8" tint="-0.499984740745262"/>
        </bottom>
      </border>
    </dxf>
    <dxf>
      <fill>
        <patternFill>
          <bgColor theme="8" tint="0.39991454817346722"/>
        </patternFill>
      </fill>
      <border>
        <top style="medium">
          <color theme="8" tint="-0.499984740745262"/>
        </top>
        <bottom style="medium">
          <color theme="8" tint="-0.499984740745262"/>
        </bottom>
      </border>
    </dxf>
    <dxf>
      <fill>
        <patternFill>
          <bgColor theme="8" tint="0.59996337778862885"/>
        </patternFill>
      </fill>
      <border>
        <left style="medium">
          <color theme="8" tint="-0.499984740745262"/>
        </left>
        <right style="medium">
          <color theme="8" tint="-0.499984740745262"/>
        </right>
      </border>
    </dxf>
    <dxf>
      <fill>
        <patternFill>
          <bgColor theme="8" tint="0.39991454817346722"/>
        </patternFill>
      </fill>
      <border>
        <left style="medium">
          <color theme="8" tint="-0.499984740745262"/>
        </left>
        <right style="medium">
          <color theme="8" tint="-0.499984740745262"/>
        </right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  <border>
        <top style="thick">
          <color theme="8" tint="-0.499984740745262"/>
        </top>
        <bottom style="thick">
          <color theme="8" tint="-0.499984740745262"/>
        </bottom>
      </border>
    </dxf>
    <dxf>
      <font>
        <b/>
        <i val="0"/>
        <color theme="0"/>
      </font>
      <fill>
        <patternFill>
          <bgColor theme="8" tint="-0.24994659260841701"/>
        </patternFill>
      </fill>
      <border>
        <top style="medium">
          <color theme="8" tint="-0.499984740745262"/>
        </top>
        <bottom style="thick">
          <color theme="8" tint="-0.499984740745262"/>
        </bottom>
      </border>
    </dxf>
    <dxf>
      <fill>
        <patternFill>
          <bgColor theme="8" tint="0.79995117038483843"/>
        </patternFill>
      </fill>
      <border>
        <horizontal style="dotted">
          <color theme="8"/>
        </horizontal>
      </border>
    </dxf>
    <dxf>
      <fill>
        <patternFill>
          <bgColor theme="7" tint="0.59996337778862885"/>
        </patternFill>
      </fill>
      <border>
        <top style="medium">
          <color theme="7" tint="-0.499984740745262"/>
        </top>
        <bottom style="medium">
          <color theme="7" tint="-0.499984740745262"/>
        </bottom>
      </border>
    </dxf>
    <dxf>
      <fill>
        <patternFill>
          <bgColor theme="7" tint="0.39991454817346722"/>
        </patternFill>
      </fill>
      <border>
        <top style="medium">
          <color theme="7" tint="-0.499984740745262"/>
        </top>
        <bottom style="medium">
          <color theme="7" tint="-0.499984740745262"/>
        </bottom>
      </border>
    </dxf>
    <dxf>
      <fill>
        <patternFill>
          <bgColor theme="7" tint="0.59996337778862885"/>
        </patternFill>
      </fill>
      <border>
        <top style="medium">
          <color theme="7" tint="-0.499984740745262"/>
        </top>
        <bottom style="thick">
          <color theme="7" tint="-0.499984740745262"/>
        </bottom>
      </border>
    </dxf>
    <dxf>
      <fill>
        <patternFill>
          <bgColor theme="7" tint="0.39991454817346722"/>
        </patternFill>
      </fill>
      <border>
        <top style="medium">
          <color theme="7" tint="-0.499984740745262"/>
        </top>
        <bottom style="medium">
          <color theme="7" tint="-0.499984740745262"/>
        </bottom>
      </border>
    </dxf>
    <dxf>
      <fill>
        <patternFill>
          <bgColor theme="7" tint="0.59996337778862885"/>
        </patternFill>
      </fill>
      <border>
        <left style="medium">
          <color theme="7" tint="-0.499984740745262"/>
        </left>
        <right style="medium">
          <color theme="7" tint="-0.499984740745262"/>
        </right>
      </border>
    </dxf>
    <dxf>
      <fill>
        <patternFill>
          <bgColor theme="7" tint="0.39991454817346722"/>
        </patternFill>
      </fill>
      <border>
        <left style="medium">
          <color theme="7" tint="-0.499984740745262"/>
        </left>
        <right style="medium">
          <color theme="7" tint="-0.499984740745262"/>
        </right>
      </border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  <border>
        <top style="thick">
          <color theme="7" tint="-0.499984740745262"/>
        </top>
        <bottom style="thick">
          <color theme="7" tint="-0.499984740745262"/>
        </bottom>
      </border>
    </dxf>
    <dxf>
      <font>
        <b/>
        <i val="0"/>
        <color theme="0"/>
      </font>
      <fill>
        <patternFill>
          <bgColor theme="7" tint="-0.24994659260841701"/>
        </patternFill>
      </fill>
      <border>
        <top style="medium">
          <color theme="7" tint="-0.499984740745262"/>
        </top>
        <bottom style="thick">
          <color theme="7" tint="-0.499984740745262"/>
        </bottom>
      </border>
    </dxf>
    <dxf>
      <fill>
        <patternFill>
          <bgColor theme="7" tint="0.79995117038483843"/>
        </patternFill>
      </fill>
      <border>
        <horizontal style="dotted">
          <color theme="7"/>
        </horizontal>
      </border>
    </dxf>
    <dxf>
      <fill>
        <patternFill>
          <bgColor theme="6" tint="0.59996337778862885"/>
        </patternFill>
      </fill>
      <border>
        <top style="medium">
          <color theme="6" tint="-0.499984740745262"/>
        </top>
        <bottom style="medium">
          <color theme="6" tint="-0.499984740745262"/>
        </bottom>
      </border>
    </dxf>
    <dxf>
      <fill>
        <patternFill>
          <bgColor theme="6" tint="0.39991454817346722"/>
        </patternFill>
      </fill>
      <border>
        <top style="medium">
          <color theme="6" tint="-0.499984740745262"/>
        </top>
        <bottom style="medium">
          <color theme="6" tint="-0.499984740745262"/>
        </bottom>
      </border>
    </dxf>
    <dxf>
      <fill>
        <patternFill>
          <bgColor theme="6" tint="0.59996337778862885"/>
        </patternFill>
      </fill>
      <border>
        <top style="medium">
          <color theme="6" tint="-0.499984740745262"/>
        </top>
        <bottom style="thick">
          <color theme="6" tint="-0.499984740745262"/>
        </bottom>
      </border>
    </dxf>
    <dxf>
      <fill>
        <patternFill>
          <bgColor theme="6" tint="0.39991454817346722"/>
        </patternFill>
      </fill>
      <border>
        <top style="medium">
          <color theme="6" tint="-0.499984740745262"/>
        </top>
        <bottom style="medium">
          <color theme="6" tint="-0.499984740745262"/>
        </bottom>
      </border>
    </dxf>
    <dxf>
      <fill>
        <patternFill>
          <bgColor theme="6" tint="0.59996337778862885"/>
        </patternFill>
      </fill>
      <border>
        <left style="medium">
          <color theme="6" tint="-0.499984740745262"/>
        </left>
        <right style="medium">
          <color theme="6" tint="-0.499984740745262"/>
        </right>
      </border>
    </dxf>
    <dxf>
      <fill>
        <patternFill>
          <bgColor theme="6" tint="0.39991454817346722"/>
        </patternFill>
      </fill>
      <border>
        <left style="medium">
          <color theme="6" tint="-0.499984740745262"/>
        </left>
        <right style="medium">
          <color theme="6" tint="-0.499984740745262"/>
        </right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  <border>
        <top style="thick">
          <color theme="6" tint="-0.499984740745262"/>
        </top>
        <bottom style="thick">
          <color theme="6" tint="-0.499984740745262"/>
        </bottom>
      </border>
    </dxf>
    <dxf>
      <font>
        <b/>
        <i val="0"/>
        <color theme="0"/>
      </font>
      <fill>
        <patternFill>
          <bgColor theme="6" tint="-0.24994659260841701"/>
        </patternFill>
      </fill>
      <border>
        <top style="medium">
          <color theme="6" tint="-0.499984740745262"/>
        </top>
        <bottom style="thick">
          <color theme="6" tint="-0.499984740745262"/>
        </bottom>
      </border>
    </dxf>
    <dxf>
      <fill>
        <patternFill>
          <bgColor theme="6" tint="0.79995117038483843"/>
        </patternFill>
      </fill>
      <border>
        <horizontal style="dotted">
          <color theme="6"/>
        </horizontal>
      </border>
    </dxf>
    <dxf>
      <fill>
        <patternFill>
          <bgColor theme="5" tint="0.59996337778862885"/>
        </patternFill>
      </fill>
      <border>
        <top style="medium">
          <color theme="5" tint="-0.499984740745262"/>
        </top>
        <bottom style="medium">
          <color theme="5" tint="-0.499984740745262"/>
        </bottom>
      </border>
    </dxf>
    <dxf>
      <fill>
        <patternFill>
          <bgColor theme="5" tint="0.39991454817346722"/>
        </patternFill>
      </fill>
      <border>
        <top style="medium">
          <color theme="5" tint="-0.499984740745262"/>
        </top>
        <bottom style="medium">
          <color theme="5" tint="-0.499984740745262"/>
        </bottom>
      </border>
    </dxf>
    <dxf>
      <fill>
        <patternFill>
          <bgColor theme="5" tint="0.59996337778862885"/>
        </patternFill>
      </fill>
      <border>
        <top style="medium">
          <color theme="5" tint="-0.499984740745262"/>
        </top>
        <bottom style="thick">
          <color theme="5" tint="-0.499984740745262"/>
        </bottom>
      </border>
    </dxf>
    <dxf>
      <fill>
        <patternFill>
          <bgColor theme="5" tint="0.39991454817346722"/>
        </patternFill>
      </fill>
      <border>
        <top style="medium">
          <color theme="5" tint="-0.499984740745262"/>
        </top>
        <bottom style="medium">
          <color theme="5" tint="-0.499984740745262"/>
        </bottom>
      </border>
    </dxf>
    <dxf>
      <fill>
        <patternFill>
          <bgColor theme="5" tint="0.59996337778862885"/>
        </patternFill>
      </fill>
      <border>
        <left style="medium">
          <color theme="5" tint="-0.499984740745262"/>
        </left>
        <right style="medium">
          <color theme="5" tint="-0.499984740745262"/>
        </right>
      </border>
    </dxf>
    <dxf>
      <fill>
        <patternFill>
          <bgColor theme="5" tint="0.39991454817346722"/>
        </patternFill>
      </fill>
      <border>
        <left style="medium">
          <color theme="5" tint="-0.499984740745262"/>
        </left>
        <right style="medium">
          <color theme="5" tint="-0.499984740745262"/>
        </right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  <border>
        <top style="thick">
          <color theme="5" tint="-0.499984740745262"/>
        </top>
        <bottom style="thick">
          <color theme="5" tint="-0.499984740745262"/>
        </bottom>
      </border>
    </dxf>
    <dxf>
      <font>
        <b/>
        <i val="0"/>
        <color theme="0"/>
      </font>
      <fill>
        <patternFill>
          <bgColor theme="5" tint="-0.24994659260841701"/>
        </patternFill>
      </fill>
      <border>
        <top style="medium">
          <color theme="5" tint="-0.499984740745262"/>
        </top>
        <bottom style="thick">
          <color theme="5" tint="-0.499984740745262"/>
        </bottom>
      </border>
    </dxf>
    <dxf>
      <fill>
        <patternFill>
          <bgColor theme="5" tint="0.79995117038483843"/>
        </patternFill>
      </fill>
      <border>
        <horizontal style="dotted">
          <color theme="5"/>
        </horizontal>
      </border>
    </dxf>
    <dxf>
      <fill>
        <patternFill>
          <bgColor theme="4" tint="0.59996337778862885"/>
        </patternFill>
      </fill>
      <border>
        <top style="medium">
          <color theme="4" tint="-0.499984740745262"/>
        </top>
        <bottom style="medium">
          <color theme="4" tint="-0.499984740745262"/>
        </bottom>
      </border>
    </dxf>
    <dxf>
      <fill>
        <patternFill>
          <bgColor theme="4" tint="0.39991454817346722"/>
        </patternFill>
      </fill>
      <border>
        <top style="medium">
          <color theme="4" tint="-0.499984740745262"/>
        </top>
        <bottom style="medium">
          <color theme="4" tint="-0.499984740745262"/>
        </bottom>
      </border>
    </dxf>
    <dxf>
      <fill>
        <patternFill>
          <bgColor theme="4" tint="0.59996337778862885"/>
        </patternFill>
      </fill>
      <border>
        <top style="medium">
          <color theme="4" tint="-0.499984740745262"/>
        </top>
        <bottom style="thick">
          <color theme="4" tint="-0.499984740745262"/>
        </bottom>
      </border>
    </dxf>
    <dxf>
      <fill>
        <patternFill>
          <bgColor theme="4" tint="0.39991454817346722"/>
        </patternFill>
      </fill>
      <border>
        <top style="medium">
          <color theme="4" tint="-0.499984740745262"/>
        </top>
        <bottom style="medium">
          <color theme="4" tint="-0.499984740745262"/>
        </bottom>
      </border>
    </dxf>
    <dxf>
      <fill>
        <patternFill>
          <bgColor theme="4" tint="0.59996337778862885"/>
        </patternFill>
      </fill>
      <border>
        <left style="medium">
          <color theme="4" tint="-0.499984740745262"/>
        </left>
        <right style="medium">
          <color theme="4" tint="-0.499984740745262"/>
        </right>
      </border>
    </dxf>
    <dxf>
      <fill>
        <patternFill>
          <bgColor theme="4" tint="0.39991454817346722"/>
        </patternFill>
      </fill>
      <border>
        <left style="medium">
          <color theme="4" tint="-0.499984740745262"/>
        </left>
        <right style="medium">
          <color theme="4" tint="-0.499984740745262"/>
        </right>
      </border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  <border>
        <top style="thick">
          <color theme="4" tint="-0.499984740745262"/>
        </top>
        <bottom style="thick">
          <color theme="4" tint="-0.499984740745262"/>
        </bottom>
      </border>
    </dxf>
    <dxf>
      <font>
        <b/>
        <i val="0"/>
        <color theme="0"/>
      </font>
      <fill>
        <patternFill>
          <bgColor theme="4" tint="-0.24994659260841701"/>
        </patternFill>
      </fill>
      <border>
        <top style="medium">
          <color theme="4" tint="-0.499984740745262"/>
        </top>
        <bottom style="thick">
          <color theme="4" tint="-0.499984740745262"/>
        </bottom>
      </border>
    </dxf>
    <dxf>
      <fill>
        <patternFill>
          <bgColor theme="4" tint="0.79995117038483843"/>
        </patternFill>
      </fill>
      <border>
        <horizontal style="dotted">
          <color theme="4"/>
        </horizontal>
      </border>
    </dxf>
  </dxfs>
  <tableStyles count="6" defaultTableStyle="TableStyleMedium2" defaultPivotStyle="PivotStyleLight16">
    <tableStyle name="C_Table (A1)" count="11" xr9:uid="{6602AB06-3C7F-443C-9740-6B0FCE96317C}">
      <tableStyleElement type="wholeTable" dxfId="65"/>
      <tableStyleElement type="headerRow" dxfId="64"/>
      <tableStyleElement type="totalRow" dxfId="63"/>
      <tableStyleElement type="secondRowStripe" dxfId="62"/>
      <tableStyleElement type="secondColumnStripe" dxfId="61"/>
      <tableStyleElement type="firstSubtotalColumn" dxfId="60"/>
      <tableStyleElement type="secondSubtotalColumn" dxfId="59"/>
      <tableStyleElement type="firstSubtotalRow" dxfId="58"/>
      <tableStyleElement type="secondSubtotalRow" dxfId="57"/>
      <tableStyleElement type="firstRowSubheading" dxfId="56"/>
      <tableStyleElement type="secondRowSubheading" dxfId="55"/>
    </tableStyle>
    <tableStyle name="C_Table (A2)" count="11" xr9:uid="{2119E61F-45C6-45DF-94F9-CAA053242135}">
      <tableStyleElement type="wholeTable" dxfId="54"/>
      <tableStyleElement type="headerRow" dxfId="53"/>
      <tableStyleElement type="totalRow" dxfId="52"/>
      <tableStyleElement type="secondRowStripe" dxfId="51"/>
      <tableStyleElement type="secondColumnStripe" dxfId="50"/>
      <tableStyleElement type="firstSubtotalColumn" dxfId="49"/>
      <tableStyleElement type="secondSubtotalColumn" dxfId="48"/>
      <tableStyleElement type="firstSubtotalRow" dxfId="47"/>
      <tableStyleElement type="secondSubtotalRow" dxfId="46"/>
      <tableStyleElement type="firstRowSubheading" dxfId="45"/>
      <tableStyleElement type="secondRowSubheading" dxfId="44"/>
    </tableStyle>
    <tableStyle name="C_Table (A3)" count="11" xr9:uid="{87DC5713-F747-42C7-8172-6737CA1DEFDA}">
      <tableStyleElement type="wholeTable" dxfId="43"/>
      <tableStyleElement type="headerRow" dxfId="42"/>
      <tableStyleElement type="totalRow" dxfId="41"/>
      <tableStyleElement type="secondRowStripe" dxfId="40"/>
      <tableStyleElement type="secondColumnStripe" dxfId="39"/>
      <tableStyleElement type="firstSubtotalColumn" dxfId="38"/>
      <tableStyleElement type="secondSubtotalColumn" dxfId="37"/>
      <tableStyleElement type="firstSubtotalRow" dxfId="36"/>
      <tableStyleElement type="secondSubtotalRow" dxfId="35"/>
      <tableStyleElement type="firstRowSubheading" dxfId="34"/>
      <tableStyleElement type="secondRowSubheading" dxfId="33"/>
    </tableStyle>
    <tableStyle name="C_Table (A4)" count="11" xr9:uid="{72BA28DC-A425-4722-8A5D-481666D3D4F9}">
      <tableStyleElement type="wholeTable" dxfId="32"/>
      <tableStyleElement type="headerRow" dxfId="31"/>
      <tableStyleElement type="totalRow" dxfId="30"/>
      <tableStyleElement type="secondRowStripe" dxfId="29"/>
      <tableStyleElement type="secondColumnStripe" dxfId="28"/>
      <tableStyleElement type="firstSubtotalColumn" dxfId="27"/>
      <tableStyleElement type="secondSubtotalColumn" dxfId="26"/>
      <tableStyleElement type="firstSubtotalRow" dxfId="25"/>
      <tableStyleElement type="secondSubtotalRow" dxfId="24"/>
      <tableStyleElement type="firstRowSubheading" dxfId="23"/>
      <tableStyleElement type="secondRowSubheading" dxfId="22"/>
    </tableStyle>
    <tableStyle name="C_Table (A5)" count="11" xr9:uid="{579497AB-D2AD-494D-9272-3E3B82753C3C}">
      <tableStyleElement type="wholeTable" dxfId="21"/>
      <tableStyleElement type="headerRow" dxfId="20"/>
      <tableStyleElement type="totalRow" dxfId="19"/>
      <tableStyleElement type="secondRowStripe" dxfId="18"/>
      <tableStyleElement type="secondColumnStripe" dxfId="17"/>
      <tableStyleElement type="firstSubtotalColumn" dxfId="16"/>
      <tableStyleElement type="secondSubtotalColumn" dxfId="15"/>
      <tableStyleElement type="firstSubtotalRow" dxfId="14"/>
      <tableStyleElement type="secondSubtotalRow" dxfId="13"/>
      <tableStyleElement type="firstRowSubheading" dxfId="12"/>
      <tableStyleElement type="secondRowSubheading" dxfId="11"/>
    </tableStyle>
    <tableStyle name="C_Table (A6)" count="11" xr9:uid="{FB12EC23-A241-4BE7-A61C-1D5724EDB0E2}">
      <tableStyleElement type="wholeTable" dxfId="10"/>
      <tableStyleElement type="headerRow" dxfId="9"/>
      <tableStyleElement type="totalRow" dxfId="8"/>
      <tableStyleElement type="secondRowStripe" dxfId="7"/>
      <tableStyleElement type="secondColumnStripe" dxfId="6"/>
      <tableStyleElement type="firstSubtotalColumn" dxfId="5"/>
      <tableStyleElement type="secondSubtotalColumn" dxfId="4"/>
      <tableStyleElement type="firstSubtotalRow" dxfId="3"/>
      <tableStyleElement type="secondSubtotalRow" dxfId="2"/>
      <tableStyleElement type="firstRowSubheading" dxfId="1"/>
      <tableStyleElement type="secon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25</xdr:row>
      <xdr:rowOff>0</xdr:rowOff>
    </xdr:from>
    <xdr:to>
      <xdr:col>13</xdr:col>
      <xdr:colOff>914400</xdr:colOff>
      <xdr:row>29</xdr:row>
      <xdr:rowOff>177800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067CBC8-D6C3-4C32-91B2-EDC6AAB92DC4}"/>
            </a:ext>
          </a:extLst>
        </xdr:cNvPr>
        <xdr:cNvSpPr/>
      </xdr:nvSpPr>
      <xdr:spPr>
        <a:xfrm>
          <a:off x="7912100" y="5060950"/>
          <a:ext cx="914400" cy="914400"/>
        </a:xfrm>
        <a:prstGeom prst="rect">
          <a:avLst/>
        </a:prstGeom>
        <a:solidFill>
          <a:srgbClr val="B3194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/>
            <a:t>RGB:</a:t>
          </a:r>
        </a:p>
        <a:p>
          <a:pPr algn="ctr"/>
          <a:r>
            <a:rPr lang="en-US" sz="1200"/>
            <a:t>179, 25, 66</a:t>
          </a:r>
        </a:p>
      </xdr:txBody>
    </xdr:sp>
    <xdr:clientData/>
  </xdr:twoCellAnchor>
  <xdr:twoCellAnchor>
    <xdr:from>
      <xdr:col>9</xdr:col>
      <xdr:colOff>0</xdr:colOff>
      <xdr:row>25</xdr:row>
      <xdr:rowOff>0</xdr:rowOff>
    </xdr:from>
    <xdr:to>
      <xdr:col>9</xdr:col>
      <xdr:colOff>914400</xdr:colOff>
      <xdr:row>29</xdr:row>
      <xdr:rowOff>177800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DC6D550-FCFB-41DE-A366-622C3BB20863}"/>
            </a:ext>
          </a:extLst>
        </xdr:cNvPr>
        <xdr:cNvSpPr/>
      </xdr:nvSpPr>
      <xdr:spPr>
        <a:xfrm>
          <a:off x="5156200" y="5060950"/>
          <a:ext cx="914400" cy="914400"/>
        </a:xfrm>
        <a:prstGeom prst="rect">
          <a:avLst/>
        </a:prstGeom>
        <a:solidFill>
          <a:srgbClr val="F9CE2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/>
            <a:t>RGB:</a:t>
          </a:r>
        </a:p>
        <a:p>
          <a:pPr algn="ctr"/>
          <a:r>
            <a:rPr lang="en-US" sz="1200"/>
            <a:t>249, 206, 32</a:t>
          </a: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914400</xdr:colOff>
      <xdr:row>29</xdr:row>
      <xdr:rowOff>177800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6359027-6C68-4BD5-8B05-7500935E1262}"/>
            </a:ext>
          </a:extLst>
        </xdr:cNvPr>
        <xdr:cNvSpPr/>
      </xdr:nvSpPr>
      <xdr:spPr>
        <a:xfrm>
          <a:off x="6534150" y="5060950"/>
          <a:ext cx="914400" cy="914400"/>
        </a:xfrm>
        <a:prstGeom prst="rect">
          <a:avLst/>
        </a:prstGeom>
        <a:solidFill>
          <a:srgbClr val="F881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/>
            <a:t>RGB: </a:t>
          </a:r>
        </a:p>
        <a:p>
          <a:pPr algn="ctr"/>
          <a:r>
            <a:rPr lang="en-US" sz="1200"/>
            <a:t>248, 129, 37</a:t>
          </a: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914400</xdr:colOff>
      <xdr:row>29</xdr:row>
      <xdr:rowOff>177800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9DCEDD0-D311-402C-8A0F-2F9EF24B9D67}"/>
            </a:ext>
          </a:extLst>
        </xdr:cNvPr>
        <xdr:cNvSpPr/>
      </xdr:nvSpPr>
      <xdr:spPr>
        <a:xfrm>
          <a:off x="2400300" y="5060950"/>
          <a:ext cx="914400" cy="914400"/>
        </a:xfrm>
        <a:prstGeom prst="rect">
          <a:avLst/>
        </a:prstGeom>
        <a:solidFill>
          <a:srgbClr val="00308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/>
            <a:t>RGB:</a:t>
          </a:r>
        </a:p>
        <a:p>
          <a:pPr algn="ctr"/>
          <a:r>
            <a:rPr lang="en-US" sz="1200"/>
            <a:t>0, 48, 143</a:t>
          </a: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3</xdr:col>
      <xdr:colOff>914400</xdr:colOff>
      <xdr:row>29</xdr:row>
      <xdr:rowOff>177800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6942BC2-CD54-4EA8-950B-4DAC8004B66B}"/>
            </a:ext>
          </a:extLst>
        </xdr:cNvPr>
        <xdr:cNvSpPr/>
      </xdr:nvSpPr>
      <xdr:spPr>
        <a:xfrm>
          <a:off x="1022350" y="5060950"/>
          <a:ext cx="914400" cy="914400"/>
        </a:xfrm>
        <a:prstGeom prst="rect">
          <a:avLst/>
        </a:prstGeom>
        <a:solidFill>
          <a:srgbClr val="0A316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/>
            <a:t>RGB:</a:t>
          </a:r>
        </a:p>
        <a:p>
          <a:pPr algn="ctr"/>
          <a:r>
            <a:rPr lang="en-US" sz="1200"/>
            <a:t>10, 49, 97</a:t>
          </a:r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914400</xdr:colOff>
      <xdr:row>29</xdr:row>
      <xdr:rowOff>177800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A3F8439-2A78-C5A5-D14C-29B2CB0EED25}"/>
            </a:ext>
          </a:extLst>
        </xdr:cNvPr>
        <xdr:cNvSpPr/>
      </xdr:nvSpPr>
      <xdr:spPr>
        <a:xfrm>
          <a:off x="3778250" y="5060950"/>
          <a:ext cx="914400" cy="914400"/>
        </a:xfrm>
        <a:prstGeom prst="rect">
          <a:avLst/>
        </a:prstGeom>
        <a:solidFill>
          <a:srgbClr val="8F8F8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/>
            <a:t>RGB:</a:t>
          </a:r>
        </a:p>
        <a:p>
          <a:pPr algn="ctr"/>
          <a:r>
            <a:rPr lang="en-US" sz="1400"/>
            <a:t>143, 143,  140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534EA9-158D-4B55-9932-14383592FCA0}" name="tbl_C_A1" displayName="tbl_C_A1" ref="D20:D23" totalsRowCount="1">
  <autoFilter ref="D20:D22" xr:uid="{98534EA9-158D-4B55-9932-14383592FCA0}"/>
  <tableColumns count="1">
    <tableColumn id="1" xr3:uid="{E9A3F317-E3A9-4139-9AEB-53083F183B27}" name="C_Table (A1)" totalsRowFunction="count"/>
  </tableColumns>
  <tableStyleInfo name="C_Table (A1)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16D738D-28F3-40B0-9DE8-5E3CFA77AB44}" name="tbl_C_A2" displayName="tbl_C_A2" ref="F20:F23" totalsRowCount="1">
  <autoFilter ref="F20:F22" xr:uid="{016D738D-28F3-40B0-9DE8-5E3CFA77AB44}"/>
  <tableColumns count="1">
    <tableColumn id="1" xr3:uid="{A2AE8080-FB98-4E39-A28E-35D4763DCDF6}" name="C_Table (A2)" totalsRowFunction="count"/>
  </tableColumns>
  <tableStyleInfo name="C_Table (A2)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4D9D517-AA69-499D-A8C8-85FC7E6BFC05}" name="tbl_C_A3" displayName="tbl_C_A3" ref="H20:H23" totalsRowCount="1">
  <autoFilter ref="H20:H22" xr:uid="{44D9D517-AA69-499D-A8C8-85FC7E6BFC05}"/>
  <tableColumns count="1">
    <tableColumn id="1" xr3:uid="{96797D0A-AC67-41D3-B3F3-213AE68FB825}" name="C_Table (A3)" totalsRowFunction="count"/>
  </tableColumns>
  <tableStyleInfo name="C_Table (A3)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8857A32-CAAA-49C5-8992-835AE99A5FCB}" name="tbl_C_A4" displayName="tbl_C_A4" ref="J20:J23" totalsRowCount="1">
  <autoFilter ref="J20:J22" xr:uid="{F8857A32-CAAA-49C5-8992-835AE99A5FCB}"/>
  <tableColumns count="1">
    <tableColumn id="1" xr3:uid="{D96DAA4E-53D2-4EE6-8193-FA95B8A14B0C}" name="C_Table (A4)" totalsRowFunction="count"/>
  </tableColumns>
  <tableStyleInfo name="C_Table (A4)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78A42F2-7A10-4D2D-8D9F-E53D8188FB02}" name="tbl_C_A5" displayName="tbl_C_A5" ref="L20:L23" totalsRowCount="1">
  <autoFilter ref="L20:L22" xr:uid="{178A42F2-7A10-4D2D-8D9F-E53D8188FB02}"/>
  <tableColumns count="1">
    <tableColumn id="1" xr3:uid="{919D873B-22ED-4E9D-A9B7-6499EF6A013D}" name="C_Table (A5)" totalsRowFunction="count"/>
  </tableColumns>
  <tableStyleInfo name="C_Table (A5)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1227989-47F6-4FFA-9238-CC0B2787C242}" name="tbl_C_A6" displayName="tbl_C_A6" ref="N20:N23" totalsRowCount="1">
  <autoFilter ref="N20:N22" xr:uid="{11227989-47F6-4FFA-9238-CC0B2787C242}"/>
  <tableColumns count="1">
    <tableColumn id="1" xr3:uid="{780B0D41-6A18-4289-9374-94B51C86A404}" name="C_Table (A6)" totalsRowFunction="count"/>
  </tableColumns>
  <tableStyleInfo name="C_Table (A6)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C4BAE-F5B9-490A-87DA-A3E207DDBA00}" name="tbl_Accent_RGBs" displayName="tbl_Accent_RGBs" ref="Q3:T12" totalsRowShown="0">
  <autoFilter ref="Q3:T12" xr:uid="{9E2AB3F4-B937-4F7A-9974-78F9370520CA}"/>
  <tableColumns count="4">
    <tableColumn id="1" xr3:uid="{799EC8D2-899E-45EB-BF78-AAFEF949074F}" name="ID"/>
    <tableColumn id="2" xr3:uid="{0E1FC852-3FF9-448B-BA72-FF2A8B3467F3}" name="R"/>
    <tableColumn id="3" xr3:uid="{9F6AC65A-80C5-44EB-B4C3-75E97E4666F0}" name="G"/>
    <tableColumn id="4" xr3:uid="{25ACDFBE-2204-4692-A568-69ED24D0226B}" name="B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6C4B957-CD74-4D3D-A952-FAF4EA611E30}" name="tbl_Accent_RGBs922" displayName="tbl_Accent_RGBs922" ref="B3:E21" totalsRowShown="0">
  <autoFilter ref="B3:E21" xr:uid="{9E2AB3F4-B937-4F7A-9974-78F9370520CA}"/>
  <tableColumns count="4">
    <tableColumn id="1" xr3:uid="{89F448BD-EF4C-45FB-B2D2-89575089B96E}" name="ID"/>
    <tableColumn id="2" xr3:uid="{865503B1-180F-4971-884D-0D4D0986CB46}" name="R"/>
    <tableColumn id="3" xr3:uid="{C01810AD-9B0F-4C91-B2B6-396C350973F0}" name="G"/>
    <tableColumn id="4" xr3:uid="{DF489BB7-7F99-4528-BC22-6FD4196EB6DF}" name="B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A25F9C-7C2B-4FDF-B0DB-FE98C487ABFE}" name="tbl_Accent_RGBs9224" displayName="tbl_Accent_RGBs9224" ref="B3:E21" totalsRowShown="0">
  <autoFilter ref="B3:E21" xr:uid="{9E2AB3F4-B937-4F7A-9974-78F9370520CA}"/>
  <tableColumns count="4">
    <tableColumn id="1" xr3:uid="{F2CC8BAA-E835-4B8E-A52A-DEB974B21369}" name="ID"/>
    <tableColumn id="2" xr3:uid="{1DF5302D-084E-4DDF-9B26-14328B29FA1D}" name="R"/>
    <tableColumn id="3" xr3:uid="{215E73C9-8B03-4C55-A220-9E94AE01A7EF}" name="G"/>
    <tableColumn id="4" xr3:uid="{A4F2607B-2EC9-48B6-91EE-0E9DF2AA5163}" name="B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3ED05-CF88-46D9-BD0C-0167BA9F7526}" name="tbl_Accent_RGBs9223" displayName="tbl_Accent_RGBs9223" ref="B3:E21" totalsRowShown="0">
  <autoFilter ref="B3:E21" xr:uid="{9E2AB3F4-B937-4F7A-9974-78F9370520CA}"/>
  <tableColumns count="4">
    <tableColumn id="1" xr3:uid="{E50B2E4C-C5D0-4BE2-BA36-852A9C50F028}" name="ID"/>
    <tableColumn id="2" xr3:uid="{552FCC5A-50E8-4B26-92C7-173AA7B32EB1}" name="R"/>
    <tableColumn id="3" xr3:uid="{712FA8BD-15D0-4B9D-A533-A582350DC5E1}" name="G"/>
    <tableColumn id="4" xr3:uid="{64CB4565-3985-49F0-B147-B328C8E95348}" name="B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USAF &amp; U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A3161"/>
      </a:accent1>
      <a:accent2>
        <a:srgbClr val="00308F"/>
      </a:accent2>
      <a:accent3>
        <a:srgbClr val="8F8F8C"/>
      </a:accent3>
      <a:accent4>
        <a:srgbClr val="F9CE20"/>
      </a:accent4>
      <a:accent5>
        <a:srgbClr val="F88125"/>
      </a:accent5>
      <a:accent6>
        <a:srgbClr val="B3194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ecfr.gov/current/title-48/chapter-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FC76-EC77-4253-B769-A62CC81ED496}">
  <sheetPr codeName="Sheet1"/>
  <dimension ref="B2:X94"/>
  <sheetViews>
    <sheetView topLeftCell="M1" workbookViewId="0">
      <selection activeCell="X17" sqref="X17"/>
    </sheetView>
  </sheetViews>
  <sheetFormatPr defaultRowHeight="14.25" x14ac:dyDescent="0.45"/>
  <cols>
    <col min="1" max="1" width="3.59765625" customWidth="1"/>
    <col min="2" max="2" width="9.33203125" bestFit="1" customWidth="1"/>
    <col min="3" max="3" width="1.59765625" customWidth="1"/>
    <col min="4" max="4" width="18.06640625" bestFit="1" customWidth="1"/>
    <col min="5" max="5" width="1.59765625" customWidth="1"/>
    <col min="6" max="6" width="18.06640625" bestFit="1" customWidth="1"/>
    <col min="7" max="7" width="1.59765625" customWidth="1"/>
    <col min="8" max="8" width="18.06640625" bestFit="1" customWidth="1"/>
    <col min="9" max="9" width="1.59765625" customWidth="1"/>
    <col min="10" max="10" width="18.06640625" bestFit="1" customWidth="1"/>
    <col min="11" max="11" width="1.59765625" customWidth="1"/>
    <col min="12" max="12" width="18.06640625" bestFit="1" customWidth="1"/>
    <col min="13" max="13" width="1.59765625" customWidth="1"/>
    <col min="14" max="14" width="18.06640625" bestFit="1" customWidth="1"/>
    <col min="21" max="21" width="9.796875" bestFit="1" customWidth="1"/>
    <col min="23" max="23" width="43.59765625" bestFit="1" customWidth="1"/>
    <col min="24" max="24" width="54.06640625" bestFit="1" customWidth="1"/>
  </cols>
  <sheetData>
    <row r="2" spans="2:24" ht="23.25" x14ac:dyDescent="0.7">
      <c r="B2" s="55" t="s">
        <v>23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2:24" x14ac:dyDescent="0.45">
      <c r="Q3" t="s">
        <v>32</v>
      </c>
      <c r="R3" t="s">
        <v>33</v>
      </c>
      <c r="S3" t="s">
        <v>34</v>
      </c>
      <c r="T3" t="s">
        <v>35</v>
      </c>
    </row>
    <row r="4" spans="2:24" x14ac:dyDescent="0.45">
      <c r="D4" s="1">
        <v>1</v>
      </c>
      <c r="E4" t="s">
        <v>0</v>
      </c>
      <c r="F4" s="1">
        <v>2</v>
      </c>
      <c r="G4" t="s">
        <v>0</v>
      </c>
      <c r="H4" s="1">
        <v>3</v>
      </c>
      <c r="I4" t="s">
        <v>0</v>
      </c>
      <c r="J4" s="1">
        <v>4</v>
      </c>
      <c r="K4" t="s">
        <v>0</v>
      </c>
      <c r="L4" s="1">
        <v>5</v>
      </c>
      <c r="M4" t="s">
        <v>0</v>
      </c>
      <c r="N4" s="1">
        <v>6</v>
      </c>
      <c r="Q4">
        <v>1</v>
      </c>
      <c r="R4">
        <v>77</v>
      </c>
      <c r="S4">
        <v>89</v>
      </c>
      <c r="T4">
        <v>148</v>
      </c>
    </row>
    <row r="5" spans="2:24" x14ac:dyDescent="0.45">
      <c r="Q5">
        <v>2</v>
      </c>
      <c r="R5">
        <v>167</v>
      </c>
      <c r="S5">
        <v>140</v>
      </c>
      <c r="T5">
        <v>181</v>
      </c>
    </row>
    <row r="6" spans="2:24" ht="21.4" thickBot="1" x14ac:dyDescent="0.7">
      <c r="B6" s="2" t="s">
        <v>1</v>
      </c>
      <c r="D6" s="10" t="str">
        <f>_xlfn.CONCAT("C",$B6," (","A",D$4,")")</f>
        <v>C1_Title (A1)</v>
      </c>
      <c r="F6" s="16" t="str">
        <f>_xlfn.CONCAT("C",$B6," (","A",F$4,")")</f>
        <v>C1_Title (A2)</v>
      </c>
      <c r="H6" s="22" t="str">
        <f>_xlfn.CONCAT("C",$B6," (","A",H$4,")")</f>
        <v>C1_Title (A3)</v>
      </c>
      <c r="J6" s="28" t="str">
        <f>_xlfn.CONCAT("C",$B6," (","A",J$4,")")</f>
        <v>C1_Title (A4)</v>
      </c>
      <c r="L6" s="34" t="str">
        <f>_xlfn.CONCAT("C",$B6," (","A",L$4,")")</f>
        <v>C1_Title (A5)</v>
      </c>
      <c r="N6" s="40" t="str">
        <f>_xlfn.CONCAT("C",$B6," (","A",N$4,")")</f>
        <v>C1_Title (A6)</v>
      </c>
      <c r="Q6">
        <v>3</v>
      </c>
      <c r="R6">
        <v>98</v>
      </c>
      <c r="S6">
        <v>135</v>
      </c>
      <c r="T6">
        <v>180</v>
      </c>
    </row>
    <row r="7" spans="2:24" ht="15" thickTop="1" thickBot="1" x14ac:dyDescent="0.5">
      <c r="Q7">
        <v>4</v>
      </c>
      <c r="R7">
        <v>91</v>
      </c>
      <c r="S7">
        <v>165</v>
      </c>
      <c r="T7">
        <v>188</v>
      </c>
    </row>
    <row r="8" spans="2:24" ht="18.75" thickTop="1" thickBot="1" x14ac:dyDescent="0.6">
      <c r="B8" s="2" t="s">
        <v>2</v>
      </c>
      <c r="D8" s="11" t="str">
        <f>_xlfn.CONCAT("C",$B8," (","A",D$4,")")</f>
        <v>C2_Heading (A1)</v>
      </c>
      <c r="F8" s="17" t="str">
        <f>_xlfn.CONCAT("C",$B8," (","A",F$4,")")</f>
        <v>C2_Heading (A2)</v>
      </c>
      <c r="H8" s="23" t="str">
        <f>_xlfn.CONCAT("C",$B8," (","A",H$4,")")</f>
        <v>C2_Heading (A3)</v>
      </c>
      <c r="J8" s="29" t="str">
        <f>_xlfn.CONCAT("C",$B8," (","A",J$4,")")</f>
        <v>C2_Heading (A4)</v>
      </c>
      <c r="L8" s="35" t="str">
        <f>_xlfn.CONCAT("C",$B8," (","A",L$4,")")</f>
        <v>C2_Heading (A5)</v>
      </c>
      <c r="N8" s="41" t="str">
        <f>_xlfn.CONCAT("C",$B8," (","A",N$4,")")</f>
        <v>C2_Heading (A6)</v>
      </c>
      <c r="Q8">
        <v>5</v>
      </c>
      <c r="R8">
        <v>128</v>
      </c>
      <c r="S8">
        <v>195</v>
      </c>
      <c r="T8">
        <v>188</v>
      </c>
    </row>
    <row r="9" spans="2:24" ht="15" thickTop="1" thickBot="1" x14ac:dyDescent="0.5">
      <c r="Q9">
        <v>6</v>
      </c>
      <c r="R9">
        <v>253</v>
      </c>
      <c r="S9">
        <v>155</v>
      </c>
      <c r="T9">
        <v>136</v>
      </c>
    </row>
    <row r="10" spans="2:24" ht="15" thickTop="1" thickBot="1" x14ac:dyDescent="0.5">
      <c r="B10" s="2" t="s">
        <v>3</v>
      </c>
      <c r="D10" s="12" t="str">
        <f>_xlfn.CONCAT("C",$B10," (","A",D$4,")")</f>
        <v>C3_Heading (A1)</v>
      </c>
      <c r="F10" s="18" t="str">
        <f>_xlfn.CONCAT("C",$B10," (","A",F$4,")")</f>
        <v>C3_Heading (A2)</v>
      </c>
      <c r="H10" s="24" t="str">
        <f>_xlfn.CONCAT("C",$B10," (","A",H$4,")")</f>
        <v>C3_Heading (A3)</v>
      </c>
      <c r="J10" s="30" t="str">
        <f>_xlfn.CONCAT("C",$B10," (","A",J$4,")")</f>
        <v>C3_Heading (A4)</v>
      </c>
      <c r="L10" s="36" t="str">
        <f>_xlfn.CONCAT("C",$B10," (","A",L$4,")")</f>
        <v>C3_Heading (A5)</v>
      </c>
      <c r="N10" s="42" t="str">
        <f>_xlfn.CONCAT("C",$B10," (","A",N$4,")")</f>
        <v>C3_Heading (A6)</v>
      </c>
      <c r="Q10">
        <v>7</v>
      </c>
      <c r="R10">
        <v>248</v>
      </c>
      <c r="S10">
        <v>212</v>
      </c>
      <c r="T10">
        <v>115</v>
      </c>
      <c r="V10" s="51">
        <v>224</v>
      </c>
      <c r="W10" s="51">
        <v>79</v>
      </c>
      <c r="X10" s="51">
        <v>185</v>
      </c>
    </row>
    <row r="11" spans="2:24" ht="15" thickTop="1" thickBot="1" x14ac:dyDescent="0.5">
      <c r="Q11">
        <v>8</v>
      </c>
      <c r="R11">
        <v>153</v>
      </c>
      <c r="S11">
        <v>104</v>
      </c>
      <c r="T11">
        <v>87</v>
      </c>
    </row>
    <row r="12" spans="2:24" ht="15" thickTop="1" thickBot="1" x14ac:dyDescent="0.5">
      <c r="B12" s="2" t="s">
        <v>4</v>
      </c>
      <c r="D12" s="13" t="str">
        <f>_xlfn.CONCAT("C",$B12," (","A",D$4,")")</f>
        <v>C4_Heading (A1)</v>
      </c>
      <c r="F12" s="19" t="str">
        <f>_xlfn.CONCAT("C",$B12," (","A",F$4,")")</f>
        <v>C4_Heading (A2)</v>
      </c>
      <c r="H12" s="25" t="str">
        <f>_xlfn.CONCAT("C",$B12," (","A",H$4,")")</f>
        <v>C4_Heading (A3)</v>
      </c>
      <c r="J12" s="31" t="str">
        <f>_xlfn.CONCAT("C",$B12," (","A",J$4,")")</f>
        <v>C4_Heading (A4)</v>
      </c>
      <c r="L12" s="37" t="str">
        <f>_xlfn.CONCAT("C",$B12," (","A",L$4,")")</f>
        <v>C4_Heading (A5)</v>
      </c>
      <c r="N12" s="43" t="str">
        <f>_xlfn.CONCAT("C",$B12," (","A",N$4,")")</f>
        <v>C4_Heading (A6)</v>
      </c>
      <c r="Q12">
        <v>9</v>
      </c>
      <c r="R12">
        <v>101</v>
      </c>
      <c r="S12">
        <v>116</v>
      </c>
      <c r="T12">
        <v>134</v>
      </c>
    </row>
    <row r="13" spans="2:24" ht="15" thickTop="1" thickBot="1" x14ac:dyDescent="0.5"/>
    <row r="14" spans="2:24" ht="14.65" thickBot="1" x14ac:dyDescent="0.5">
      <c r="B14" s="2" t="s">
        <v>5</v>
      </c>
      <c r="D14" s="14" t="str">
        <f>_xlfn.CONCAT("C",$B14," (","A",D$4,")")</f>
        <v>C5_Heading (A1)</v>
      </c>
      <c r="F14" s="20" t="str">
        <f>_xlfn.CONCAT("C",$B14," (","A",F$4,")")</f>
        <v>C5_Heading (A2)</v>
      </c>
      <c r="H14" s="26" t="str">
        <f>_xlfn.CONCAT("C",$B14," (","A",H$4,")")</f>
        <v>C5_Heading (A3)</v>
      </c>
      <c r="J14" s="32" t="str">
        <f>_xlfn.CONCAT("C",$B14," (","A",J$4,")")</f>
        <v>C5_Heading (A4)</v>
      </c>
      <c r="L14" s="38" t="str">
        <f>_xlfn.CONCAT("C",$B14," (","A",L$4,")")</f>
        <v>C5_Heading (A5)</v>
      </c>
      <c r="N14" s="44" t="str">
        <f>_xlfn.CONCAT("C",$B14," (","A",N$4,")")</f>
        <v>C5_Heading (A6)</v>
      </c>
      <c r="Q14" s="27" t="s">
        <v>24</v>
      </c>
      <c r="R14" s="46">
        <v>1</v>
      </c>
    </row>
    <row r="15" spans="2:24" x14ac:dyDescent="0.45">
      <c r="R15" s="49" t="s">
        <v>33</v>
      </c>
      <c r="S15" s="49" t="s">
        <v>34</v>
      </c>
      <c r="T15" s="49" t="s">
        <v>35</v>
      </c>
      <c r="U15" s="49" t="s">
        <v>36</v>
      </c>
      <c r="W15" s="49"/>
      <c r="X15" s="49"/>
    </row>
    <row r="16" spans="2:24" x14ac:dyDescent="0.45">
      <c r="B16" s="2" t="s">
        <v>6</v>
      </c>
      <c r="D16" s="15" t="str">
        <f>_xlfn.CONCAT("C",$B16," (","A",D$4,")")</f>
        <v>C6_Content (A1)</v>
      </c>
      <c r="F16" s="21" t="str">
        <f>_xlfn.CONCAT("C",$B16," (","A",F$4,")")</f>
        <v>C6_Content (A2)</v>
      </c>
      <c r="H16" s="27" t="str">
        <f>_xlfn.CONCAT("C",$B16," (","A",H$4,")")</f>
        <v>C6_Content (A3)</v>
      </c>
      <c r="J16" s="33" t="str">
        <f>_xlfn.CONCAT("C",$B16," (","A",J$4,")")</f>
        <v>C6_Content (A4)</v>
      </c>
      <c r="L16" s="39" t="str">
        <f>_xlfn.CONCAT("C",$B16," (","A",L$4,")")</f>
        <v>C6_Content (A5)</v>
      </c>
      <c r="N16" s="45" t="str">
        <f>_xlfn.CONCAT("C",$B16," (","A",N$4,")")</f>
        <v>C6_Content (A6)</v>
      </c>
      <c r="Q16" s="27" t="s">
        <v>25</v>
      </c>
      <c r="R16" s="48">
        <f>ROUND(255-((255-R19)*U16),0)</f>
        <v>211</v>
      </c>
      <c r="S16" s="48">
        <f>ROUND(255-((255-S19)*U16),0)</f>
        <v>214</v>
      </c>
      <c r="T16" s="48">
        <f>ROUND(255-((255-T19)*U16),0)</f>
        <v>228</v>
      </c>
      <c r="U16" s="47">
        <v>0.25</v>
      </c>
      <c r="W16" s="48" t="str">
        <f>LOWER(_xlfn.CONCAT("        --color-a",R14,"-",Q16,": rgba(",R16,", ",S16,", ",T16,", ","1.00",");"))</f>
        <v xml:space="preserve">        --color-a1-lightest: rgba(211, 214, 228, 1.00);</v>
      </c>
      <c r="X16" s="48" t="str">
        <f>_xlfn.CONCAT("    .bg-a",R14,"-",LOWER(Q16),"{","background-color: var(--accent",R14,"-",LOWER(Q16),");","}")</f>
        <v xml:space="preserve">    .bg-a1-lightest{background-color: var(--accent1-lightest);}</v>
      </c>
    </row>
    <row r="17" spans="2:24" ht="14.65" thickBot="1" x14ac:dyDescent="0.5">
      <c r="Q17" s="27" t="s">
        <v>26</v>
      </c>
      <c r="R17" s="48">
        <f>ROUND(255-((255-R19)*U17),0)</f>
        <v>166</v>
      </c>
      <c r="S17" s="48">
        <f>ROUND(255-((255-S19)*U17),0)</f>
        <v>172</v>
      </c>
      <c r="T17" s="48">
        <f>ROUND(255-((255-T19)*U17),0)</f>
        <v>202</v>
      </c>
      <c r="U17" s="47">
        <v>0.5</v>
      </c>
      <c r="W17" s="48" t="str">
        <f>LOWER(_xlfn.CONCAT("        --accent",R14,"-",Q17,": rgba(",R17,", ",S17,", ",T17,", ","1.00",");"))</f>
        <v xml:space="preserve">        --accent1-lighter: rgba(166, 172, 202, 1.00);</v>
      </c>
      <c r="X17" s="48" t="str">
        <f>_xlfn.CONCAT("    .bg_a",R14,"-",LOWER(Q17),"{","background-color: var(--accent",R14,"-",LOWER(Q17),");","}")</f>
        <v xml:space="preserve">    .bg_a1-lighter{background-color: var(--accent1-lighter);}</v>
      </c>
    </row>
    <row r="18" spans="2:24" ht="14.65" thickBot="1" x14ac:dyDescent="0.5">
      <c r="B18" s="3" t="s">
        <v>7</v>
      </c>
      <c r="D18" s="4" t="s">
        <v>8</v>
      </c>
      <c r="F18" s="5" t="s">
        <v>9</v>
      </c>
      <c r="H18" s="6" t="s">
        <v>10</v>
      </c>
      <c r="J18" s="7" t="s">
        <v>11</v>
      </c>
      <c r="L18" s="8" t="s">
        <v>12</v>
      </c>
      <c r="N18" s="9" t="s">
        <v>13</v>
      </c>
      <c r="Q18" s="27" t="s">
        <v>27</v>
      </c>
      <c r="R18" s="48">
        <f>ROUND(255-((255-R19)*U18),0)</f>
        <v>122</v>
      </c>
      <c r="S18" s="48">
        <f>ROUND(255-((255-S19)*U18),0)</f>
        <v>131</v>
      </c>
      <c r="T18" s="48">
        <f>ROUND(255-((255-T19)*U18),0)</f>
        <v>175</v>
      </c>
      <c r="U18" s="47">
        <v>0.75</v>
      </c>
      <c r="W18" s="48" t="str">
        <f>LOWER(_xlfn.CONCAT("        --accent",R14,"-",Q18,": rgba(",R18,", ",S18,", ",T18,", ","1.00",");"))</f>
        <v xml:space="preserve">        --accent1-light: rgba(122, 131, 175, 1.00);</v>
      </c>
      <c r="X18" s="48" t="str">
        <f>_xlfn.CONCAT("    .bg_a",R14,"-",LOWER(Q18),"{","background-color: var(--accent",R14,"-",LOWER(Q18),");","}")</f>
        <v xml:space="preserve">    .bg_a1-light{background-color: var(--accent1-light);}</v>
      </c>
    </row>
    <row r="19" spans="2:24" x14ac:dyDescent="0.45">
      <c r="Q19" s="27" t="s">
        <v>28</v>
      </c>
      <c r="R19" s="50">
        <f>VLOOKUP(R14,$Q$3:$T$12,2,FALSE)</f>
        <v>77</v>
      </c>
      <c r="S19" s="50">
        <f>VLOOKUP(R14,$Q$3:$T$12,3,FALSE)</f>
        <v>89</v>
      </c>
      <c r="T19" s="50">
        <f>VLOOKUP(R14,$Q$3:$T$12,4,FALSE)</f>
        <v>148</v>
      </c>
      <c r="U19" s="47">
        <v>0</v>
      </c>
      <c r="W19" s="48" t="str">
        <f>LOWER(_xlfn.CONCAT("        --accent",R14,"-",Q19,": rgba(",R19,", ",S19,", ",T19,", ","1.00",");"))</f>
        <v xml:space="preserve">        --accent1-normal: rgba(77, 89, 148, 1.00);</v>
      </c>
      <c r="X19" s="48" t="str">
        <f>_xlfn.CONCAT("    .bg_a",R14,"-",LOWER(Q19),"{","background-color: var(--accent",R14,"-",LOWER(Q19),");","}")</f>
        <v xml:space="preserve">    .bg_a1-normal{background-color: var(--accent1-normal);}</v>
      </c>
    </row>
    <row r="20" spans="2:24" x14ac:dyDescent="0.45">
      <c r="B20" s="2" t="s">
        <v>14</v>
      </c>
      <c r="D20" t="s">
        <v>15</v>
      </c>
      <c r="F20" t="s">
        <v>16</v>
      </c>
      <c r="H20" t="s">
        <v>17</v>
      </c>
      <c r="J20" t="s">
        <v>18</v>
      </c>
      <c r="L20" t="s">
        <v>19</v>
      </c>
      <c r="N20" t="s">
        <v>20</v>
      </c>
      <c r="Q20" s="27" t="s">
        <v>29</v>
      </c>
      <c r="R20" s="48">
        <f>ROUND(R19*(1+U20),0)</f>
        <v>58</v>
      </c>
      <c r="S20" s="48">
        <f>ROUND(S19*(1+U20),0)</f>
        <v>67</v>
      </c>
      <c r="T20" s="48">
        <f>ROUND(T19*(1+U20),0)</f>
        <v>111</v>
      </c>
      <c r="U20" s="47">
        <v>-0.25</v>
      </c>
      <c r="W20" s="48" t="str">
        <f>LOWER(_xlfn.CONCAT("        --accent",R14,"-",Q20,": rgba(",R20,", ",S20,", ",T20,", ","1.00",");"))</f>
        <v xml:space="preserve">        --accent1-dark: rgba(58, 67, 111, 1.00);</v>
      </c>
      <c r="X20" s="48" t="str">
        <f>_xlfn.CONCAT("    .bg_a",R14,"-",LOWER(Q20),"{","background-color: var(--accent",R14,"-",LOWER(Q20),");","}")</f>
        <v xml:space="preserve">    .bg_a1-dark{background-color: var(--accent1-dark);}</v>
      </c>
    </row>
    <row r="21" spans="2:24" x14ac:dyDescent="0.45">
      <c r="D21" t="s">
        <v>21</v>
      </c>
      <c r="F21" t="s">
        <v>21</v>
      </c>
      <c r="H21" t="s">
        <v>21</v>
      </c>
      <c r="J21" t="s">
        <v>21</v>
      </c>
      <c r="L21" t="s">
        <v>21</v>
      </c>
      <c r="N21" t="s">
        <v>21</v>
      </c>
      <c r="Q21" s="27" t="s">
        <v>30</v>
      </c>
      <c r="R21" s="48">
        <f>ROUND(R19*(1+U21),0)</f>
        <v>39</v>
      </c>
      <c r="S21" s="48">
        <f>ROUND(S19*(1+U21),0)</f>
        <v>45</v>
      </c>
      <c r="T21" s="48">
        <f>ROUND(T19*(1+U21),0)</f>
        <v>74</v>
      </c>
      <c r="U21" s="47">
        <v>-0.5</v>
      </c>
      <c r="W21" s="48" t="str">
        <f>LOWER(_xlfn.CONCAT("        --accent",R14,"-",Q21,": rgba(",R21,", ",S21,", ",T21,", ","1.00",");"))</f>
        <v xml:space="preserve">        --accent1-darker: rgba(39, 45, 74, 1.00);</v>
      </c>
      <c r="X21" s="48" t="str">
        <f>_xlfn.CONCAT("    .bg_a",R14,"-",LOWER(Q21),"{","background-color: var(--accent",R14,"-",LOWER(Q21),");","}")</f>
        <v xml:space="preserve">    .bg_a1-darker{background-color: var(--accent1-darker);}</v>
      </c>
    </row>
    <row r="22" spans="2:24" x14ac:dyDescent="0.45">
      <c r="D22" t="s">
        <v>22</v>
      </c>
      <c r="F22" t="s">
        <v>22</v>
      </c>
      <c r="H22" t="s">
        <v>22</v>
      </c>
      <c r="J22" t="s">
        <v>22</v>
      </c>
      <c r="L22" t="s">
        <v>22</v>
      </c>
      <c r="N22" t="s">
        <v>22</v>
      </c>
      <c r="Q22" s="27" t="s">
        <v>31</v>
      </c>
      <c r="R22" s="48">
        <f>ROUND(R19*(1+U22),0)</f>
        <v>19</v>
      </c>
      <c r="S22" s="48">
        <f>ROUND(S19*(1+U22),0)</f>
        <v>22</v>
      </c>
      <c r="T22" s="48">
        <f>ROUND(T19*(1+U22),0)</f>
        <v>37</v>
      </c>
      <c r="U22" s="47">
        <v>-0.75</v>
      </c>
      <c r="W22" s="48" t="str">
        <f>LOWER(_xlfn.CONCAT("        --accent",R14,"-",Q22,": rgba(",R22,", ",S22,", ",T22,", ","1.00",");"))</f>
        <v xml:space="preserve">        --accent1-darkest: rgba(19, 22, 37, 1.00);</v>
      </c>
      <c r="X22" s="48" t="str">
        <f>_xlfn.CONCAT("    .bg_a",R14,"-",LOWER(Q22),"{","background-color: var(--accent",R14,"-",LOWER(Q22),");","}")</f>
        <v xml:space="preserve">    .bg_a1-darkest{background-color: var(--accent1-darkest);}</v>
      </c>
    </row>
    <row r="23" spans="2:24" x14ac:dyDescent="0.45">
      <c r="D23">
        <f>SUBTOTAL(103,tbl_C_A1[C_Table (A1)])</f>
        <v>2</v>
      </c>
      <c r="F23">
        <f>SUBTOTAL(103,tbl_C_A2[C_Table (A2)])</f>
        <v>2</v>
      </c>
      <c r="H23">
        <f>SUBTOTAL(103,tbl_C_A3[C_Table (A3)])</f>
        <v>2</v>
      </c>
      <c r="J23">
        <f>SUBTOTAL(103,tbl_C_A4[C_Table (A4)])</f>
        <v>2</v>
      </c>
      <c r="L23">
        <f>SUBTOTAL(103,tbl_C_A5[C_Table (A5)])</f>
        <v>2</v>
      </c>
      <c r="N23">
        <f>SUBTOTAL(103,tbl_C_A6[C_Table (A6)])</f>
        <v>2</v>
      </c>
      <c r="Q23" s="27" t="s">
        <v>24</v>
      </c>
      <c r="R23" s="46">
        <v>2</v>
      </c>
    </row>
    <row r="24" spans="2:24" x14ac:dyDescent="0.45">
      <c r="R24" s="49" t="s">
        <v>33</v>
      </c>
      <c r="S24" s="49" t="s">
        <v>34</v>
      </c>
      <c r="T24" s="49" t="s">
        <v>35</v>
      </c>
      <c r="U24" s="49" t="s">
        <v>36</v>
      </c>
      <c r="W24" s="49"/>
      <c r="X24" s="49"/>
    </row>
    <row r="25" spans="2:24" x14ac:dyDescent="0.45">
      <c r="Q25" s="27" t="s">
        <v>25</v>
      </c>
      <c r="R25" s="48">
        <f>ROUND(255-((255-R28)*U25),0)</f>
        <v>233</v>
      </c>
      <c r="S25" s="48">
        <f>ROUND(255-((255-S28)*U25),0)</f>
        <v>226</v>
      </c>
      <c r="T25" s="48">
        <f>ROUND(255-((255-T28)*U25),0)</f>
        <v>237</v>
      </c>
      <c r="U25" s="47">
        <v>0.25</v>
      </c>
      <c r="W25" s="48" t="str">
        <f>LOWER(_xlfn.CONCAT("        --accent",R23,"-",Q25,": rgba(",R25,", ",S25,", ",T25,", ","1.00",");"))</f>
        <v xml:space="preserve">        --accent2-lightest: rgba(233, 226, 237, 1.00);</v>
      </c>
      <c r="X25" s="48" t="str">
        <f>_xlfn.CONCAT("    .bg_a",R23,"-",LOWER(Q25),"{","background-color: var(--accent",R23,"-",LOWER(Q25),");","}")</f>
        <v xml:space="preserve">    .bg_a2-lightest{background-color: var(--accent2-lightest);}</v>
      </c>
    </row>
    <row r="26" spans="2:24" x14ac:dyDescent="0.45">
      <c r="Q26" s="27" t="s">
        <v>26</v>
      </c>
      <c r="R26" s="48">
        <f>ROUND(255-((255-R28)*U26),0)</f>
        <v>211</v>
      </c>
      <c r="S26" s="48">
        <f>ROUND(255-((255-S28)*U26),0)</f>
        <v>198</v>
      </c>
      <c r="T26" s="48">
        <f>ROUND(255-((255-T28)*U26),0)</f>
        <v>218</v>
      </c>
      <c r="U26" s="47">
        <v>0.5</v>
      </c>
      <c r="W26" s="48" t="str">
        <f>LOWER(_xlfn.CONCAT("        --accent",R23,"-",Q26,": rgba(",R26,", ",S26,", ",T26,", ","1.00",");"))</f>
        <v xml:space="preserve">        --accent2-lighter: rgba(211, 198, 218, 1.00);</v>
      </c>
      <c r="X26" s="48" t="str">
        <f>_xlfn.CONCAT("    .bg_a",R23,"-",LOWER(Q26),"{","background-color: var(--accent",R23,"-",LOWER(Q26),");","}")</f>
        <v xml:space="preserve">    .bg_a2-lighter{background-color: var(--accent2-lighter);}</v>
      </c>
    </row>
    <row r="27" spans="2:24" x14ac:dyDescent="0.45">
      <c r="Q27" s="27" t="s">
        <v>27</v>
      </c>
      <c r="R27" s="48">
        <f>ROUND(255-((255-R28)*U27),0)</f>
        <v>189</v>
      </c>
      <c r="S27" s="48">
        <f>ROUND(255-((255-S28)*U27),0)</f>
        <v>169</v>
      </c>
      <c r="T27" s="48">
        <f>ROUND(255-((255-T28)*U27),0)</f>
        <v>200</v>
      </c>
      <c r="U27" s="47">
        <v>0.75</v>
      </c>
      <c r="W27" s="48" t="str">
        <f>LOWER(_xlfn.CONCAT("        --accent",R23,"-",Q27,": rgba(",R27,", ",S27,", ",T27,", ","1.00",");"))</f>
        <v xml:space="preserve">        --accent2-light: rgba(189, 169, 200, 1.00);</v>
      </c>
      <c r="X27" s="48" t="str">
        <f>_xlfn.CONCAT("    .bg_a",R23,"-",LOWER(Q27),"{","background-color: var(--accent",R23,"-",LOWER(Q27),");","}")</f>
        <v xml:space="preserve">    .bg_a2-light{background-color: var(--accent2-light);}</v>
      </c>
    </row>
    <row r="28" spans="2:24" x14ac:dyDescent="0.45">
      <c r="Q28" s="27" t="s">
        <v>28</v>
      </c>
      <c r="R28" s="50">
        <f>VLOOKUP(R23,$Q$3:$T$12,2,FALSE)</f>
        <v>167</v>
      </c>
      <c r="S28" s="50">
        <f>VLOOKUP(R23,$Q$3:$T$12,3,FALSE)</f>
        <v>140</v>
      </c>
      <c r="T28" s="50">
        <f>VLOOKUP(R23,$Q$3:$T$12,4,FALSE)</f>
        <v>181</v>
      </c>
      <c r="U28" s="47">
        <v>0</v>
      </c>
      <c r="W28" s="48" t="str">
        <f>LOWER(_xlfn.CONCAT("        --accent",R23,"-",Q28,": rgba(",R28,", ",S28,", ",T28,", ","1.00",");"))</f>
        <v xml:space="preserve">        --accent2-normal: rgba(167, 140, 181, 1.00);</v>
      </c>
      <c r="X28" s="48" t="str">
        <f>_xlfn.CONCAT("    .bg_a",R23,"-",LOWER(Q28),"{","background-color: var(--accent",R23,"-",LOWER(Q28),");","}")</f>
        <v xml:space="preserve">    .bg_a2-normal{background-color: var(--accent2-normal);}</v>
      </c>
    </row>
    <row r="29" spans="2:24" x14ac:dyDescent="0.45">
      <c r="Q29" s="27" t="s">
        <v>29</v>
      </c>
      <c r="R29" s="48">
        <f>ROUND(R28*(1+U29),0)</f>
        <v>125</v>
      </c>
      <c r="S29" s="48">
        <f>ROUND(S28*(1+U29),0)</f>
        <v>105</v>
      </c>
      <c r="T29" s="48">
        <f>ROUND(T28*(1+U29),0)</f>
        <v>136</v>
      </c>
      <c r="U29" s="47">
        <v>-0.25</v>
      </c>
      <c r="W29" s="48" t="str">
        <f>LOWER(_xlfn.CONCAT("        --accent",R23,"-",Q29,": rgba(",R29,", ",S29,", ",T29,", ","1.00",");"))</f>
        <v xml:space="preserve">        --accent2-dark: rgba(125, 105, 136, 1.00);</v>
      </c>
      <c r="X29" s="48" t="str">
        <f>_xlfn.CONCAT("    .bg_a",R23,"-",LOWER(Q29),"{","background-color: var(--accent",R23,"-",LOWER(Q29),");","}")</f>
        <v xml:space="preserve">    .bg_a2-dark{background-color: var(--accent2-dark);}</v>
      </c>
    </row>
    <row r="30" spans="2:24" x14ac:dyDescent="0.45">
      <c r="Q30" s="27" t="s">
        <v>30</v>
      </c>
      <c r="R30" s="48">
        <f>ROUND(R28*(1+U30),0)</f>
        <v>84</v>
      </c>
      <c r="S30" s="48">
        <f>ROUND(S28*(1+U30),0)</f>
        <v>70</v>
      </c>
      <c r="T30" s="48">
        <f>ROUND(T28*(1+U30),0)</f>
        <v>91</v>
      </c>
      <c r="U30" s="47">
        <v>-0.5</v>
      </c>
      <c r="W30" s="48" t="str">
        <f>LOWER(_xlfn.CONCAT("        --accent",R23,"-",Q30,": rgba(",R30,", ",S30,", ",T30,", ","1.00",");"))</f>
        <v xml:space="preserve">        --accent2-darker: rgba(84, 70, 91, 1.00);</v>
      </c>
      <c r="X30" s="48" t="str">
        <f>_xlfn.CONCAT("    .bg_a",R23,"-",LOWER(Q30),"{","background-color: var(--accent",R23,"-",LOWER(Q30),");","}")</f>
        <v xml:space="preserve">    .bg_a2-darker{background-color: var(--accent2-darker);}</v>
      </c>
    </row>
    <row r="31" spans="2:24" x14ac:dyDescent="0.45">
      <c r="Q31" s="27" t="s">
        <v>31</v>
      </c>
      <c r="R31" s="48">
        <f>ROUND(R28*(1+U31),0)</f>
        <v>42</v>
      </c>
      <c r="S31" s="48">
        <f>ROUND(S28*(1+U31),0)</f>
        <v>35</v>
      </c>
      <c r="T31" s="48">
        <f>ROUND(T28*(1+U31),0)</f>
        <v>45</v>
      </c>
      <c r="U31" s="47">
        <v>-0.75</v>
      </c>
      <c r="W31" s="48" t="str">
        <f>LOWER(_xlfn.CONCAT("        --accent",R23,"-",Q31,": rgba(",R31,", ",S31,", ",T31,", ","1.00",");"))</f>
        <v xml:space="preserve">        --accent2-darkest: rgba(42, 35, 45, 1.00);</v>
      </c>
      <c r="X31" s="48" t="str">
        <f>_xlfn.CONCAT("    .bg_a",R23,"-",LOWER(Q31),"{","background-color: var(--accent",R23,"-",LOWER(Q31),");","}")</f>
        <v xml:space="preserve">    .bg_a2-darkest{background-color: var(--accent2-darkest);}</v>
      </c>
    </row>
    <row r="32" spans="2:24" x14ac:dyDescent="0.45">
      <c r="Q32" s="27" t="s">
        <v>24</v>
      </c>
      <c r="R32" s="46">
        <v>3</v>
      </c>
    </row>
    <row r="33" spans="17:24" x14ac:dyDescent="0.45">
      <c r="R33" s="49" t="s">
        <v>33</v>
      </c>
      <c r="S33" s="49" t="s">
        <v>34</v>
      </c>
      <c r="T33" s="49" t="s">
        <v>35</v>
      </c>
      <c r="U33" s="49" t="s">
        <v>36</v>
      </c>
      <c r="W33" s="49"/>
      <c r="X33" s="49"/>
    </row>
    <row r="34" spans="17:24" x14ac:dyDescent="0.45">
      <c r="Q34" s="27" t="s">
        <v>25</v>
      </c>
      <c r="R34" s="48">
        <f>ROUND(255-((255-R37)*U34),0)</f>
        <v>216</v>
      </c>
      <c r="S34" s="48">
        <f>ROUND(255-((255-S37)*U34),0)</f>
        <v>225</v>
      </c>
      <c r="T34" s="48">
        <f>ROUND(255-((255-T37)*U34),0)</f>
        <v>236</v>
      </c>
      <c r="U34" s="47">
        <v>0.25</v>
      </c>
      <c r="W34" s="48" t="str">
        <f>LOWER(_xlfn.CONCAT("        --accent",R32,"-",Q34,": rgba(",R34,", ",S34,", ",T34,", ","1.00",");"))</f>
        <v xml:space="preserve">        --accent3-lightest: rgba(216, 225, 236, 1.00);</v>
      </c>
      <c r="X34" s="48" t="str">
        <f>_xlfn.CONCAT("    .bg_a",R32,"-",LOWER(Q34),"{","background-color: var(--accent",R32,"-",LOWER(Q34),");","}")</f>
        <v xml:space="preserve">    .bg_a3-lightest{background-color: var(--accent3-lightest);}</v>
      </c>
    </row>
    <row r="35" spans="17:24" x14ac:dyDescent="0.45">
      <c r="Q35" s="27" t="s">
        <v>26</v>
      </c>
      <c r="R35" s="48">
        <f>ROUND(255-((255-R37)*U35),0)</f>
        <v>177</v>
      </c>
      <c r="S35" s="48">
        <f>ROUND(255-((255-S37)*U35),0)</f>
        <v>195</v>
      </c>
      <c r="T35" s="48">
        <f>ROUND(255-((255-T37)*U35),0)</f>
        <v>218</v>
      </c>
      <c r="U35" s="47">
        <v>0.5</v>
      </c>
      <c r="W35" s="48" t="str">
        <f>LOWER(_xlfn.CONCAT("        --accent",R32,"-",Q35,": rgba(",R35,", ",S35,", ",T35,", ","1.00",");"))</f>
        <v xml:space="preserve">        --accent3-lighter: rgba(177, 195, 218, 1.00);</v>
      </c>
      <c r="X35" s="48" t="str">
        <f>_xlfn.CONCAT("    .bg_a",R32,"-",LOWER(Q35),"{","background-color: var(--accent",R32,"-",LOWER(Q35),");","}")</f>
        <v xml:space="preserve">    .bg_a3-lighter{background-color: var(--accent3-lighter);}</v>
      </c>
    </row>
    <row r="36" spans="17:24" x14ac:dyDescent="0.45">
      <c r="Q36" s="27" t="s">
        <v>27</v>
      </c>
      <c r="R36" s="48">
        <f>ROUND(255-((255-R37)*U36),0)</f>
        <v>137</v>
      </c>
      <c r="S36" s="48">
        <f>ROUND(255-((255-S37)*U36),0)</f>
        <v>165</v>
      </c>
      <c r="T36" s="48">
        <f>ROUND(255-((255-T37)*U36),0)</f>
        <v>199</v>
      </c>
      <c r="U36" s="47">
        <v>0.75</v>
      </c>
      <c r="W36" s="48" t="str">
        <f>LOWER(_xlfn.CONCAT("        --accent",R32,"-",Q36,": rgba(",R36,", ",S36,", ",T36,", ","1.00",");"))</f>
        <v xml:space="preserve">        --accent3-light: rgba(137, 165, 199, 1.00);</v>
      </c>
      <c r="X36" s="48" t="str">
        <f>_xlfn.CONCAT("    .bg_a",R32,"-",LOWER(Q36),"{","background-color: var(--accent",R32,"-",LOWER(Q36),");","}")</f>
        <v xml:space="preserve">    .bg_a3-light{background-color: var(--accent3-light);}</v>
      </c>
    </row>
    <row r="37" spans="17:24" x14ac:dyDescent="0.45">
      <c r="Q37" s="27" t="s">
        <v>28</v>
      </c>
      <c r="R37" s="50">
        <f>VLOOKUP(R32,$Q$3:$T$12,2,FALSE)</f>
        <v>98</v>
      </c>
      <c r="S37" s="50">
        <f>VLOOKUP(R32,$Q$3:$T$12,3,FALSE)</f>
        <v>135</v>
      </c>
      <c r="T37" s="50">
        <f>VLOOKUP(R32,$Q$3:$T$12,4,FALSE)</f>
        <v>180</v>
      </c>
      <c r="U37" s="47">
        <v>0</v>
      </c>
      <c r="W37" s="48" t="str">
        <f>LOWER(_xlfn.CONCAT("        --accent",R32,"-",Q37,": rgba(",R37,", ",S37,", ",T37,", ","1.00",");"))</f>
        <v xml:space="preserve">        --accent3-normal: rgba(98, 135, 180, 1.00);</v>
      </c>
      <c r="X37" s="48" t="str">
        <f>_xlfn.CONCAT("    .bg_a",R32,"-",LOWER(Q37),"{","background-color: var(--accent",R32,"-",LOWER(Q37),");","}")</f>
        <v xml:space="preserve">    .bg_a3-normal{background-color: var(--accent3-normal);}</v>
      </c>
    </row>
    <row r="38" spans="17:24" x14ac:dyDescent="0.45">
      <c r="Q38" s="27" t="s">
        <v>29</v>
      </c>
      <c r="R38" s="48">
        <f>ROUND(R37*(1+U38),0)</f>
        <v>74</v>
      </c>
      <c r="S38" s="48">
        <f>ROUND(S37*(1+U38),0)</f>
        <v>101</v>
      </c>
      <c r="T38" s="48">
        <f>ROUND(T37*(1+U38),0)</f>
        <v>135</v>
      </c>
      <c r="U38" s="47">
        <v>-0.25</v>
      </c>
      <c r="W38" s="48" t="str">
        <f>LOWER(_xlfn.CONCAT("        --accent",R32,"-",Q38,": rgba(",R38,", ",S38,", ",T38,", ","1.00",");"))</f>
        <v xml:space="preserve">        --accent3-dark: rgba(74, 101, 135, 1.00);</v>
      </c>
      <c r="X38" s="48" t="str">
        <f>_xlfn.CONCAT("    .bg_a",R32,"-",LOWER(Q38),"{","background-color: var(--accent",R32,"-",LOWER(Q38),");","}")</f>
        <v xml:space="preserve">    .bg_a3-dark{background-color: var(--accent3-dark);}</v>
      </c>
    </row>
    <row r="39" spans="17:24" x14ac:dyDescent="0.45">
      <c r="Q39" s="27" t="s">
        <v>30</v>
      </c>
      <c r="R39" s="48">
        <f>ROUND(R37*(1+U39),0)</f>
        <v>49</v>
      </c>
      <c r="S39" s="48">
        <f>ROUND(S37*(1+U39),0)</f>
        <v>68</v>
      </c>
      <c r="T39" s="48">
        <f>ROUND(T37*(1+U39),0)</f>
        <v>90</v>
      </c>
      <c r="U39" s="47">
        <v>-0.5</v>
      </c>
      <c r="W39" s="48" t="str">
        <f>LOWER(_xlfn.CONCAT("        --accent",R32,"-",Q39,": rgba(",R39,", ",S39,", ",T39,", ","1.00",");"))</f>
        <v xml:space="preserve">        --accent3-darker: rgba(49, 68, 90, 1.00);</v>
      </c>
      <c r="X39" s="48" t="str">
        <f>_xlfn.CONCAT("    .bg_a",R32,"-",LOWER(Q39),"{","background-color: var(--accent",R32,"-",LOWER(Q39),");","}")</f>
        <v xml:space="preserve">    .bg_a3-darker{background-color: var(--accent3-darker);}</v>
      </c>
    </row>
    <row r="40" spans="17:24" x14ac:dyDescent="0.45">
      <c r="Q40" s="27" t="s">
        <v>31</v>
      </c>
      <c r="R40" s="48">
        <f>ROUND(R37*(1+U40),0)</f>
        <v>25</v>
      </c>
      <c r="S40" s="48">
        <f>ROUND(S37*(1+U40),0)</f>
        <v>34</v>
      </c>
      <c r="T40" s="48">
        <f>ROUND(T37*(1+U40),0)</f>
        <v>45</v>
      </c>
      <c r="U40" s="47">
        <v>-0.75</v>
      </c>
      <c r="W40" s="48" t="str">
        <f>LOWER(_xlfn.CONCAT("        --accent",R32,"-",Q40,": rgba(",R40,", ",S40,", ",T40,", ","1.00",");"))</f>
        <v xml:space="preserve">        --accent3-darkest: rgba(25, 34, 45, 1.00);</v>
      </c>
      <c r="X40" s="48" t="str">
        <f>_xlfn.CONCAT("    .bg_a",R32,"-",LOWER(Q40),"{","background-color: var(--accent",R32,"-",LOWER(Q40),");","}")</f>
        <v xml:space="preserve">    .bg_a3-darkest{background-color: var(--accent3-darkest);}</v>
      </c>
    </row>
    <row r="41" spans="17:24" x14ac:dyDescent="0.45">
      <c r="Q41" s="27" t="s">
        <v>24</v>
      </c>
      <c r="R41" s="46">
        <v>4</v>
      </c>
    </row>
    <row r="42" spans="17:24" x14ac:dyDescent="0.45">
      <c r="R42" s="49" t="s">
        <v>33</v>
      </c>
      <c r="S42" s="49" t="s">
        <v>34</v>
      </c>
      <c r="T42" s="49" t="s">
        <v>35</v>
      </c>
      <c r="U42" s="49" t="s">
        <v>36</v>
      </c>
      <c r="W42" s="49"/>
      <c r="X42" s="49"/>
    </row>
    <row r="43" spans="17:24" x14ac:dyDescent="0.45">
      <c r="Q43" s="27" t="s">
        <v>25</v>
      </c>
      <c r="R43" s="48">
        <f>ROUND(255-((255-R46)*U43),0)</f>
        <v>214</v>
      </c>
      <c r="S43" s="48">
        <f>ROUND(255-((255-S46)*U43),0)</f>
        <v>233</v>
      </c>
      <c r="T43" s="48">
        <f>ROUND(255-((255-T46)*U43),0)</f>
        <v>238</v>
      </c>
      <c r="U43" s="47">
        <v>0.25</v>
      </c>
      <c r="W43" s="48" t="str">
        <f>LOWER(_xlfn.CONCAT("        --accent",R41,"-",Q43,": rgba(",R43,", ",S43,", ",T43,", ","1.00",");"))</f>
        <v xml:space="preserve">        --accent4-lightest: rgba(214, 233, 238, 1.00);</v>
      </c>
      <c r="X43" s="48" t="str">
        <f>_xlfn.CONCAT("    .bg_a",R41,"-",LOWER(Q43),"{","background-color: var(--accent",R41,"-",LOWER(Q43),");","}")</f>
        <v xml:space="preserve">    .bg_a4-lightest{background-color: var(--accent4-lightest);}</v>
      </c>
    </row>
    <row r="44" spans="17:24" x14ac:dyDescent="0.45">
      <c r="Q44" s="27" t="s">
        <v>26</v>
      </c>
      <c r="R44" s="48">
        <f>ROUND(255-((255-R46)*U44),0)</f>
        <v>173</v>
      </c>
      <c r="S44" s="48">
        <f>ROUND(255-((255-S46)*U44),0)</f>
        <v>210</v>
      </c>
      <c r="T44" s="48">
        <f>ROUND(255-((255-T46)*U44),0)</f>
        <v>222</v>
      </c>
      <c r="U44" s="47">
        <v>0.5</v>
      </c>
      <c r="W44" s="48" t="str">
        <f>LOWER(_xlfn.CONCAT("        --accent",R41,"-",Q44,": rgba(",R44,", ",S44,", ",T44,", ","1.00",");"))</f>
        <v xml:space="preserve">        --accent4-lighter: rgba(173, 210, 222, 1.00);</v>
      </c>
      <c r="X44" s="48" t="str">
        <f>_xlfn.CONCAT("    .bg_a",R41,"-",LOWER(Q44),"{","background-color: var(--accent",R41,"-",LOWER(Q44),");","}")</f>
        <v xml:space="preserve">    .bg_a4-lighter{background-color: var(--accent4-lighter);}</v>
      </c>
    </row>
    <row r="45" spans="17:24" x14ac:dyDescent="0.45">
      <c r="Q45" s="27" t="s">
        <v>27</v>
      </c>
      <c r="R45" s="48">
        <f>ROUND(255-((255-R46)*U45),0)</f>
        <v>132</v>
      </c>
      <c r="S45" s="48">
        <f>ROUND(255-((255-S46)*U45),0)</f>
        <v>188</v>
      </c>
      <c r="T45" s="48">
        <f>ROUND(255-((255-T46)*U45),0)</f>
        <v>205</v>
      </c>
      <c r="U45" s="47">
        <v>0.75</v>
      </c>
      <c r="W45" s="48" t="str">
        <f>LOWER(_xlfn.CONCAT("        --accent",R41,"-",Q45,": rgba(",R45,", ",S45,", ",T45,", ","1.00",");"))</f>
        <v xml:space="preserve">        --accent4-light: rgba(132, 188, 205, 1.00);</v>
      </c>
      <c r="X45" s="48" t="str">
        <f>_xlfn.CONCAT("    .bg_a",R41,"-",LOWER(Q45),"{","background-color: var(--accent",R41,"-",LOWER(Q45),");","}")</f>
        <v xml:space="preserve">    .bg_a4-light{background-color: var(--accent4-light);}</v>
      </c>
    </row>
    <row r="46" spans="17:24" x14ac:dyDescent="0.45">
      <c r="Q46" s="27" t="s">
        <v>28</v>
      </c>
      <c r="R46" s="50">
        <f>VLOOKUP(R41,$Q$3:$T$12,2,FALSE)</f>
        <v>91</v>
      </c>
      <c r="S46" s="50">
        <f>VLOOKUP(R41,$Q$3:$T$12,3,FALSE)</f>
        <v>165</v>
      </c>
      <c r="T46" s="50">
        <f>VLOOKUP(R41,$Q$3:$T$12,4,FALSE)</f>
        <v>188</v>
      </c>
      <c r="U46" s="47">
        <v>0</v>
      </c>
      <c r="W46" s="48" t="str">
        <f>LOWER(_xlfn.CONCAT("        --accent",R41,"-",Q46,": rgba(",R46,", ",S46,", ",T46,", ","1.00",");"))</f>
        <v xml:space="preserve">        --accent4-normal: rgba(91, 165, 188, 1.00);</v>
      </c>
      <c r="X46" s="48" t="str">
        <f>_xlfn.CONCAT("    .bg_a",R41,"-",LOWER(Q46),"{","background-color: var(--accent",R41,"-",LOWER(Q46),");","}")</f>
        <v xml:space="preserve">    .bg_a4-normal{background-color: var(--accent4-normal);}</v>
      </c>
    </row>
    <row r="47" spans="17:24" x14ac:dyDescent="0.45">
      <c r="Q47" s="27" t="s">
        <v>29</v>
      </c>
      <c r="R47" s="48">
        <f>ROUND(R46*(1+U47),0)</f>
        <v>68</v>
      </c>
      <c r="S47" s="48">
        <f>ROUND(S46*(1+U47),0)</f>
        <v>124</v>
      </c>
      <c r="T47" s="48">
        <f>ROUND(T46*(1+U47),0)</f>
        <v>141</v>
      </c>
      <c r="U47" s="47">
        <v>-0.25</v>
      </c>
      <c r="W47" s="48" t="str">
        <f>LOWER(_xlfn.CONCAT("        --accent",R41,"-",Q47,": rgba(",R47,", ",S47,", ",T47,", ","1.00",");"))</f>
        <v xml:space="preserve">        --accent4-dark: rgba(68, 124, 141, 1.00);</v>
      </c>
      <c r="X47" s="48" t="str">
        <f>_xlfn.CONCAT("    .bg_a",R41,"-",LOWER(Q47),"{","background-color: var(--accent",R41,"-",LOWER(Q47),");","}")</f>
        <v xml:space="preserve">    .bg_a4-dark{background-color: var(--accent4-dark);}</v>
      </c>
    </row>
    <row r="48" spans="17:24" x14ac:dyDescent="0.45">
      <c r="Q48" s="27" t="s">
        <v>30</v>
      </c>
      <c r="R48" s="48">
        <f>ROUND(R46*(1+U48),0)</f>
        <v>46</v>
      </c>
      <c r="S48" s="48">
        <f>ROUND(S46*(1+U48),0)</f>
        <v>83</v>
      </c>
      <c r="T48" s="48">
        <f>ROUND(T46*(1+U48),0)</f>
        <v>94</v>
      </c>
      <c r="U48" s="47">
        <v>-0.5</v>
      </c>
      <c r="W48" s="48" t="str">
        <f>LOWER(_xlfn.CONCAT("        --accent",R41,"-",Q48,": rgba(",R48,", ",S48,", ",T48,", ","1.00",");"))</f>
        <v xml:space="preserve">        --accent4-darker: rgba(46, 83, 94, 1.00);</v>
      </c>
      <c r="X48" s="48" t="str">
        <f>_xlfn.CONCAT("    .bg_a",R41,"-",LOWER(Q48),"{","background-color: var(--accent",R41,"-",LOWER(Q48),");","}")</f>
        <v xml:space="preserve">    .bg_a4-darker{background-color: var(--accent4-darker);}</v>
      </c>
    </row>
    <row r="49" spans="17:24" x14ac:dyDescent="0.45">
      <c r="Q49" s="27" t="s">
        <v>31</v>
      </c>
      <c r="R49" s="48">
        <f>ROUND(R46*(1+U49),0)</f>
        <v>23</v>
      </c>
      <c r="S49" s="48">
        <f>ROUND(S46*(1+U49),0)</f>
        <v>41</v>
      </c>
      <c r="T49" s="48">
        <f>ROUND(T46*(1+U49),0)</f>
        <v>47</v>
      </c>
      <c r="U49" s="47">
        <v>-0.75</v>
      </c>
      <c r="W49" s="48" t="str">
        <f>LOWER(_xlfn.CONCAT("        --accent",R41,"-",Q49,": rgba(",R49,", ",S49,", ",T49,", ","1.00",");"))</f>
        <v xml:space="preserve">        --accent4-darkest: rgba(23, 41, 47, 1.00);</v>
      </c>
      <c r="X49" s="48" t="str">
        <f>_xlfn.CONCAT("    .bg_a",R41,"-",LOWER(Q49),"{","background-color: var(--accent",R41,"-",LOWER(Q49),");","}")</f>
        <v xml:space="preserve">    .bg_a4-darkest{background-color: var(--accent4-darkest);}</v>
      </c>
    </row>
    <row r="50" spans="17:24" x14ac:dyDescent="0.45">
      <c r="Q50" s="27" t="s">
        <v>24</v>
      </c>
      <c r="R50" s="46">
        <v>5</v>
      </c>
    </row>
    <row r="51" spans="17:24" x14ac:dyDescent="0.45">
      <c r="R51" s="49" t="s">
        <v>33</v>
      </c>
      <c r="S51" s="49" t="s">
        <v>34</v>
      </c>
      <c r="T51" s="49" t="s">
        <v>35</v>
      </c>
      <c r="U51" s="49" t="s">
        <v>36</v>
      </c>
      <c r="W51" s="49"/>
      <c r="X51" s="49"/>
    </row>
    <row r="52" spans="17:24" x14ac:dyDescent="0.45">
      <c r="Q52" s="27" t="s">
        <v>25</v>
      </c>
      <c r="R52" s="48">
        <f>ROUND(255-((255-R55)*U52),0)</f>
        <v>223</v>
      </c>
      <c r="S52" s="48">
        <f>ROUND(255-((255-S55)*U52),0)</f>
        <v>240</v>
      </c>
      <c r="T52" s="48">
        <f>ROUND(255-((255-T55)*U52),0)</f>
        <v>238</v>
      </c>
      <c r="U52" s="47">
        <v>0.25</v>
      </c>
      <c r="W52" s="48" t="str">
        <f>LOWER(_xlfn.CONCAT("        --accent",R50,"-",Q52,": rgba(",R52,", ",S52,", ",T52,", ","1.00",");"))</f>
        <v xml:space="preserve">        --accent5-lightest: rgba(223, 240, 238, 1.00);</v>
      </c>
      <c r="X52" s="48" t="str">
        <f>_xlfn.CONCAT("    .bg_a",R50,"-",LOWER(Q52),"{","background-color: var(--accent",R50,"-",LOWER(Q52),");","}")</f>
        <v xml:space="preserve">    .bg_a5-lightest{background-color: var(--accent5-lightest);}</v>
      </c>
    </row>
    <row r="53" spans="17:24" x14ac:dyDescent="0.45">
      <c r="Q53" s="27" t="s">
        <v>26</v>
      </c>
      <c r="R53" s="48">
        <f>ROUND(255-((255-R55)*U53),0)</f>
        <v>192</v>
      </c>
      <c r="S53" s="48">
        <f>ROUND(255-((255-S55)*U53),0)</f>
        <v>225</v>
      </c>
      <c r="T53" s="48">
        <f>ROUND(255-((255-T55)*U53),0)</f>
        <v>222</v>
      </c>
      <c r="U53" s="47">
        <v>0.5</v>
      </c>
      <c r="W53" s="48" t="str">
        <f>LOWER(_xlfn.CONCAT("        --accent",R50,"-",Q53,": rgba(",R53,", ",S53,", ",T53,", ","1.00",");"))</f>
        <v xml:space="preserve">        --accent5-lighter: rgba(192, 225, 222, 1.00);</v>
      </c>
      <c r="X53" s="48" t="str">
        <f>_xlfn.CONCAT("    .bg_a",R50,"-",LOWER(Q53),"{","background-color: var(--accent",R50,"-",LOWER(Q53),");","}")</f>
        <v xml:space="preserve">    .bg_a5-lighter{background-color: var(--accent5-lighter);}</v>
      </c>
    </row>
    <row r="54" spans="17:24" x14ac:dyDescent="0.45">
      <c r="Q54" s="27" t="s">
        <v>27</v>
      </c>
      <c r="R54" s="48">
        <f>ROUND(255-((255-R55)*U54),0)</f>
        <v>160</v>
      </c>
      <c r="S54" s="48">
        <f>ROUND(255-((255-S55)*U54),0)</f>
        <v>210</v>
      </c>
      <c r="T54" s="48">
        <f>ROUND(255-((255-T55)*U54),0)</f>
        <v>205</v>
      </c>
      <c r="U54" s="47">
        <v>0.75</v>
      </c>
      <c r="W54" s="48" t="str">
        <f>LOWER(_xlfn.CONCAT("        --accent",R50,"-",Q54,": rgba(",R54,", ",S54,", ",T54,", ","1.00",");"))</f>
        <v xml:space="preserve">        --accent5-light: rgba(160, 210, 205, 1.00);</v>
      </c>
      <c r="X54" s="48" t="str">
        <f>_xlfn.CONCAT("    .bg_a",R50,"-",LOWER(Q54),"{","background-color: var(--accent",R50,"-",LOWER(Q54),");","}")</f>
        <v xml:space="preserve">    .bg_a5-light{background-color: var(--accent5-light);}</v>
      </c>
    </row>
    <row r="55" spans="17:24" x14ac:dyDescent="0.45">
      <c r="Q55" s="27" t="s">
        <v>28</v>
      </c>
      <c r="R55" s="50">
        <f>VLOOKUP(R50,$Q$3:$T$12,2,FALSE)</f>
        <v>128</v>
      </c>
      <c r="S55" s="50">
        <f>VLOOKUP(R50,$Q$3:$T$12,3,FALSE)</f>
        <v>195</v>
      </c>
      <c r="T55" s="50">
        <f>VLOOKUP(R50,$Q$3:$T$12,4,FALSE)</f>
        <v>188</v>
      </c>
      <c r="U55" s="47">
        <v>0</v>
      </c>
      <c r="W55" s="48" t="str">
        <f>LOWER(_xlfn.CONCAT("        --accent",R50,"-",Q55,": rgba(",R55,", ",S55,", ",T55,", ","1.00",");"))</f>
        <v xml:space="preserve">        --accent5-normal: rgba(128, 195, 188, 1.00);</v>
      </c>
      <c r="X55" s="48" t="str">
        <f>_xlfn.CONCAT("    .bg_a",R50,"-",LOWER(Q55),"{","background-color: var(--accent",R50,"-",LOWER(Q55),");","}")</f>
        <v xml:space="preserve">    .bg_a5-normal{background-color: var(--accent5-normal);}</v>
      </c>
    </row>
    <row r="56" spans="17:24" x14ac:dyDescent="0.45">
      <c r="Q56" s="27" t="s">
        <v>29</v>
      </c>
      <c r="R56" s="48">
        <f>ROUND(R55*(1+U56),0)</f>
        <v>96</v>
      </c>
      <c r="S56" s="48">
        <f>ROUND(S55*(1+U56),0)</f>
        <v>146</v>
      </c>
      <c r="T56" s="48">
        <f>ROUND(T55*(1+U56),0)</f>
        <v>141</v>
      </c>
      <c r="U56" s="47">
        <v>-0.25</v>
      </c>
      <c r="W56" s="48" t="str">
        <f>LOWER(_xlfn.CONCAT("        --accent",R50,"-",Q56,": rgba(",R56,", ",S56,", ",T56,", ","1.00",");"))</f>
        <v xml:space="preserve">        --accent5-dark: rgba(96, 146, 141, 1.00);</v>
      </c>
      <c r="X56" s="48" t="str">
        <f>_xlfn.CONCAT("    .bg_a",R50,"-",LOWER(Q56),"{","background-color: var(--accent",R50,"-",LOWER(Q56),");","}")</f>
        <v xml:space="preserve">    .bg_a5-dark{background-color: var(--accent5-dark);}</v>
      </c>
    </row>
    <row r="57" spans="17:24" x14ac:dyDescent="0.45">
      <c r="Q57" s="27" t="s">
        <v>30</v>
      </c>
      <c r="R57" s="48">
        <f>ROUND(R55*(1+U57),0)</f>
        <v>64</v>
      </c>
      <c r="S57" s="48">
        <f>ROUND(S55*(1+U57),0)</f>
        <v>98</v>
      </c>
      <c r="T57" s="48">
        <f>ROUND(T55*(1+U57),0)</f>
        <v>94</v>
      </c>
      <c r="U57" s="47">
        <v>-0.5</v>
      </c>
      <c r="W57" s="48" t="str">
        <f>LOWER(_xlfn.CONCAT("        --accent",R50,"-",Q57,": rgba(",R57,", ",S57,", ",T57,", ","1.00",");"))</f>
        <v xml:space="preserve">        --accent5-darker: rgba(64, 98, 94, 1.00);</v>
      </c>
      <c r="X57" s="48" t="str">
        <f>_xlfn.CONCAT("    .bg_a",R50,"-",LOWER(Q57),"{","background-color: var(--accent",R50,"-",LOWER(Q57),");","}")</f>
        <v xml:space="preserve">    .bg_a5-darker{background-color: var(--accent5-darker);}</v>
      </c>
    </row>
    <row r="58" spans="17:24" x14ac:dyDescent="0.45">
      <c r="Q58" s="27" t="s">
        <v>31</v>
      </c>
      <c r="R58" s="48">
        <f>ROUND(R55*(1+U58),0)</f>
        <v>32</v>
      </c>
      <c r="S58" s="48">
        <f>ROUND(S55*(1+U58),0)</f>
        <v>49</v>
      </c>
      <c r="T58" s="48">
        <f>ROUND(T55*(1+U58),0)</f>
        <v>47</v>
      </c>
      <c r="U58" s="47">
        <v>-0.75</v>
      </c>
      <c r="W58" s="48" t="str">
        <f>LOWER(_xlfn.CONCAT("        --accent",R50,"-",Q58,": rgba(",R58,", ",S58,", ",T58,", ","1.00",");"))</f>
        <v xml:space="preserve">        --accent5-darkest: rgba(32, 49, 47, 1.00);</v>
      </c>
      <c r="X58" s="48" t="str">
        <f>_xlfn.CONCAT("    .bg_a",R50,"-",LOWER(Q58),"{","background-color: var(--accent",R50,"-",LOWER(Q58),");","}")</f>
        <v xml:space="preserve">    .bg_a5-darkest{background-color: var(--accent5-darkest);}</v>
      </c>
    </row>
    <row r="59" spans="17:24" x14ac:dyDescent="0.45">
      <c r="Q59" s="27" t="s">
        <v>24</v>
      </c>
      <c r="R59" s="46">
        <v>6</v>
      </c>
    </row>
    <row r="60" spans="17:24" x14ac:dyDescent="0.45">
      <c r="R60" s="49" t="s">
        <v>33</v>
      </c>
      <c r="S60" s="49" t="s">
        <v>34</v>
      </c>
      <c r="T60" s="49" t="s">
        <v>35</v>
      </c>
      <c r="U60" s="49" t="s">
        <v>36</v>
      </c>
      <c r="W60" s="49"/>
      <c r="X60" s="49"/>
    </row>
    <row r="61" spans="17:24" x14ac:dyDescent="0.45">
      <c r="Q61" s="27" t="s">
        <v>25</v>
      </c>
      <c r="R61" s="48">
        <f>ROUND(255-((255-R64)*U61),0)</f>
        <v>255</v>
      </c>
      <c r="S61" s="48">
        <f>ROUND(255-((255-S64)*U61),0)</f>
        <v>230</v>
      </c>
      <c r="T61" s="48">
        <f>ROUND(255-((255-T64)*U61),0)</f>
        <v>225</v>
      </c>
      <c r="U61" s="47">
        <v>0.25</v>
      </c>
      <c r="W61" s="48" t="str">
        <f>LOWER(_xlfn.CONCAT("        --accent",R59,"-",Q61,": rgba(",R61,", ",S61,", ",T61,", ","1.00",");"))</f>
        <v xml:space="preserve">        --accent6-lightest: rgba(255, 230, 225, 1.00);</v>
      </c>
      <c r="X61" s="48" t="str">
        <f>_xlfn.CONCAT("    .bg_a",R59,"-",LOWER(Q61),"{","background-color: var(--accent",R59,"-",LOWER(Q61),");","}")</f>
        <v xml:space="preserve">    .bg_a6-lightest{background-color: var(--accent6-lightest);}</v>
      </c>
    </row>
    <row r="62" spans="17:24" x14ac:dyDescent="0.45">
      <c r="Q62" s="27" t="s">
        <v>26</v>
      </c>
      <c r="R62" s="48">
        <f>ROUND(255-((255-R64)*U62),0)</f>
        <v>254</v>
      </c>
      <c r="S62" s="48">
        <f>ROUND(255-((255-S64)*U62),0)</f>
        <v>205</v>
      </c>
      <c r="T62" s="48">
        <f>ROUND(255-((255-T64)*U62),0)</f>
        <v>196</v>
      </c>
      <c r="U62" s="47">
        <v>0.5</v>
      </c>
      <c r="W62" s="48" t="str">
        <f>LOWER(_xlfn.CONCAT("        --accent",R59,"-",Q62,": rgba(",R62,", ",S62,", ",T62,", ","1.00",");"))</f>
        <v xml:space="preserve">        --accent6-lighter: rgba(254, 205, 196, 1.00);</v>
      </c>
      <c r="X62" s="48" t="str">
        <f>_xlfn.CONCAT("    .bg_a",R59,"-",LOWER(Q62),"{","background-color: var(--accent",R59,"-",LOWER(Q62),");","}")</f>
        <v xml:space="preserve">    .bg_a6-lighter{background-color: var(--accent6-lighter);}</v>
      </c>
    </row>
    <row r="63" spans="17:24" x14ac:dyDescent="0.45">
      <c r="Q63" s="27" t="s">
        <v>27</v>
      </c>
      <c r="R63" s="48">
        <f>ROUND(255-((255-R64)*U63),0)</f>
        <v>254</v>
      </c>
      <c r="S63" s="48">
        <f>ROUND(255-((255-S64)*U63),0)</f>
        <v>180</v>
      </c>
      <c r="T63" s="48">
        <f>ROUND(255-((255-T64)*U63),0)</f>
        <v>166</v>
      </c>
      <c r="U63" s="47">
        <v>0.75</v>
      </c>
      <c r="W63" s="48" t="str">
        <f>LOWER(_xlfn.CONCAT("        --accent",R59,"-",Q63,": rgba(",R63,", ",S63,", ",T63,", ","1.00",");"))</f>
        <v xml:space="preserve">        --accent6-light: rgba(254, 180, 166, 1.00);</v>
      </c>
      <c r="X63" s="48" t="str">
        <f>_xlfn.CONCAT("    .bg_a",R59,"-",LOWER(Q63),"{","background-color: var(--accent",R59,"-",LOWER(Q63),");","}")</f>
        <v xml:space="preserve">    .bg_a6-light{background-color: var(--accent6-light);}</v>
      </c>
    </row>
    <row r="64" spans="17:24" x14ac:dyDescent="0.45">
      <c r="Q64" s="27" t="s">
        <v>28</v>
      </c>
      <c r="R64" s="50">
        <f>VLOOKUP(R59,$Q$3:$T$12,2,FALSE)</f>
        <v>253</v>
      </c>
      <c r="S64" s="50">
        <f>VLOOKUP(R59,$Q$3:$T$12,3,FALSE)</f>
        <v>155</v>
      </c>
      <c r="T64" s="50">
        <f>VLOOKUP(R59,$Q$3:$T$12,4,FALSE)</f>
        <v>136</v>
      </c>
      <c r="U64" s="47">
        <v>0</v>
      </c>
      <c r="W64" s="48" t="str">
        <f>LOWER(_xlfn.CONCAT("        --accent",R59,"-",Q64,": rgba(",R64,", ",S64,", ",T64,", ","1.00",");"))</f>
        <v xml:space="preserve">        --accent6-normal: rgba(253, 155, 136, 1.00);</v>
      </c>
      <c r="X64" s="48" t="str">
        <f>_xlfn.CONCAT("    .bg_a",R59,"-",LOWER(Q64),"{","background-color: var(--accent",R59,"-",LOWER(Q64),");","}")</f>
        <v xml:space="preserve">    .bg_a6-normal{background-color: var(--accent6-normal);}</v>
      </c>
    </row>
    <row r="65" spans="17:24" x14ac:dyDescent="0.45">
      <c r="Q65" s="27" t="s">
        <v>29</v>
      </c>
      <c r="R65" s="48">
        <f>ROUND(R64*(1+U65),0)</f>
        <v>190</v>
      </c>
      <c r="S65" s="48">
        <f>ROUND(S64*(1+U65),0)</f>
        <v>116</v>
      </c>
      <c r="T65" s="48">
        <f>ROUND(T64*(1+U65),0)</f>
        <v>102</v>
      </c>
      <c r="U65" s="47">
        <v>-0.25</v>
      </c>
      <c r="W65" s="48" t="str">
        <f>LOWER(_xlfn.CONCAT("        --accent",R59,"-",Q65,": rgba(",R65,", ",S65,", ",T65,", ","1.00",");"))</f>
        <v xml:space="preserve">        --accent6-dark: rgba(190, 116, 102, 1.00);</v>
      </c>
      <c r="X65" s="48" t="str">
        <f>_xlfn.CONCAT("    .bg_a",R59,"-",LOWER(Q65),"{","background-color: var(--accent",R59,"-",LOWER(Q65),");","}")</f>
        <v xml:space="preserve">    .bg_a6-dark{background-color: var(--accent6-dark);}</v>
      </c>
    </row>
    <row r="66" spans="17:24" x14ac:dyDescent="0.45">
      <c r="Q66" s="27" t="s">
        <v>30</v>
      </c>
      <c r="R66" s="48">
        <f>ROUND(R64*(1+U66),0)</f>
        <v>127</v>
      </c>
      <c r="S66" s="48">
        <f>ROUND(S64*(1+U66),0)</f>
        <v>78</v>
      </c>
      <c r="T66" s="48">
        <f>ROUND(T64*(1+U66),0)</f>
        <v>68</v>
      </c>
      <c r="U66" s="47">
        <v>-0.5</v>
      </c>
      <c r="W66" s="48" t="str">
        <f>LOWER(_xlfn.CONCAT("        --accent",R59,"-",Q66,": rgba(",R66,", ",S66,", ",T66,", ","1.00",");"))</f>
        <v xml:space="preserve">        --accent6-darker: rgba(127, 78, 68, 1.00);</v>
      </c>
      <c r="X66" s="48" t="str">
        <f>_xlfn.CONCAT("    .bg_a",R59,"-",LOWER(Q66),"{","background-color: var(--accent",R59,"-",LOWER(Q66),");","}")</f>
        <v xml:space="preserve">    .bg_a6-darker{background-color: var(--accent6-darker);}</v>
      </c>
    </row>
    <row r="67" spans="17:24" x14ac:dyDescent="0.45">
      <c r="Q67" s="27" t="s">
        <v>31</v>
      </c>
      <c r="R67" s="48">
        <f>ROUND(R64*(1+U67),0)</f>
        <v>63</v>
      </c>
      <c r="S67" s="48">
        <f>ROUND(S64*(1+U67),0)</f>
        <v>39</v>
      </c>
      <c r="T67" s="48">
        <f>ROUND(T64*(1+U67),0)</f>
        <v>34</v>
      </c>
      <c r="U67" s="47">
        <v>-0.75</v>
      </c>
      <c r="W67" s="48" t="str">
        <f>LOWER(_xlfn.CONCAT("        --accent",R59,"-",Q67,": rgba(",R67,", ",S67,", ",T67,", ","1.00",");"))</f>
        <v xml:space="preserve">        --accent6-darkest: rgba(63, 39, 34, 1.00);</v>
      </c>
      <c r="X67" s="48" t="str">
        <f>_xlfn.CONCAT("    .bg_a",R59,"-",LOWER(Q67),"{","background-color: var(--accent",R59,"-",LOWER(Q67),");","}")</f>
        <v xml:space="preserve">    .bg_a6-darkest{background-color: var(--accent6-darkest);}</v>
      </c>
    </row>
    <row r="68" spans="17:24" x14ac:dyDescent="0.45">
      <c r="Q68" s="27" t="s">
        <v>24</v>
      </c>
      <c r="R68" s="46">
        <v>7</v>
      </c>
    </row>
    <row r="69" spans="17:24" x14ac:dyDescent="0.45">
      <c r="R69" s="49" t="s">
        <v>33</v>
      </c>
      <c r="S69" s="49" t="s">
        <v>34</v>
      </c>
      <c r="T69" s="49" t="s">
        <v>35</v>
      </c>
      <c r="U69" s="49" t="s">
        <v>36</v>
      </c>
      <c r="W69" s="49"/>
      <c r="X69" s="49"/>
    </row>
    <row r="70" spans="17:24" x14ac:dyDescent="0.45">
      <c r="Q70" s="27" t="s">
        <v>25</v>
      </c>
      <c r="R70" s="48">
        <f>ROUND(255-((255-R73)*U70),0)</f>
        <v>253</v>
      </c>
      <c r="S70" s="48">
        <f>ROUND(255-((255-S73)*U70),0)</f>
        <v>244</v>
      </c>
      <c r="T70" s="48">
        <f>ROUND(255-((255-T73)*U70),0)</f>
        <v>220</v>
      </c>
      <c r="U70" s="47">
        <v>0.25</v>
      </c>
      <c r="W70" s="48" t="str">
        <f>LOWER(_xlfn.CONCAT("        --accent",R68,"-",Q70,": rgba(",R70,", ",S70,", ",T70,", ","1.00",");"))</f>
        <v xml:space="preserve">        --accent7-lightest: rgba(253, 244, 220, 1.00);</v>
      </c>
      <c r="X70" s="48" t="str">
        <f>_xlfn.CONCAT("    .bg_a",R68,"-",LOWER(Q70),"{","background-color: var(--accent",R68,"-",LOWER(Q70),");","}")</f>
        <v xml:space="preserve">    .bg_a7-lightest{background-color: var(--accent7-lightest);}</v>
      </c>
    </row>
    <row r="71" spans="17:24" x14ac:dyDescent="0.45">
      <c r="Q71" s="27" t="s">
        <v>26</v>
      </c>
      <c r="R71" s="48">
        <f>ROUND(255-((255-R73)*U71),0)</f>
        <v>252</v>
      </c>
      <c r="S71" s="48">
        <f>ROUND(255-((255-S73)*U71),0)</f>
        <v>234</v>
      </c>
      <c r="T71" s="48">
        <f>ROUND(255-((255-T73)*U71),0)</f>
        <v>185</v>
      </c>
      <c r="U71" s="47">
        <v>0.5</v>
      </c>
      <c r="W71" s="48" t="str">
        <f>LOWER(_xlfn.CONCAT("        --accent",R68,"-",Q71,": rgba(",R71,", ",S71,", ",T71,", ","1.00",");"))</f>
        <v xml:space="preserve">        --accent7-lighter: rgba(252, 234, 185, 1.00);</v>
      </c>
      <c r="X71" s="48" t="str">
        <f>_xlfn.CONCAT("    .bg_a",R68,"-",LOWER(Q71),"{","background-color: var(--accent",R68,"-",LOWER(Q71),");","}")</f>
        <v xml:space="preserve">    .bg_a7-lighter{background-color: var(--accent7-lighter);}</v>
      </c>
    </row>
    <row r="72" spans="17:24" x14ac:dyDescent="0.45">
      <c r="Q72" s="27" t="s">
        <v>27</v>
      </c>
      <c r="R72" s="48">
        <f>ROUND(255-((255-R73)*U72),0)</f>
        <v>250</v>
      </c>
      <c r="S72" s="48">
        <f>ROUND(255-((255-S73)*U72),0)</f>
        <v>223</v>
      </c>
      <c r="T72" s="48">
        <f>ROUND(255-((255-T73)*U72),0)</f>
        <v>150</v>
      </c>
      <c r="U72" s="47">
        <v>0.75</v>
      </c>
      <c r="W72" s="48" t="str">
        <f>LOWER(_xlfn.CONCAT("        --accent",R68,"-",Q72,": rgba(",R72,", ",S72,", ",T72,", ","1.00",");"))</f>
        <v xml:space="preserve">        --accent7-light: rgba(250, 223, 150, 1.00);</v>
      </c>
      <c r="X72" s="48" t="str">
        <f>_xlfn.CONCAT("    .bg_a",R68,"-",LOWER(Q72),"{","background-color: var(--accent",R68,"-",LOWER(Q72),");","}")</f>
        <v xml:space="preserve">    .bg_a7-light{background-color: var(--accent7-light);}</v>
      </c>
    </row>
    <row r="73" spans="17:24" x14ac:dyDescent="0.45">
      <c r="Q73" s="27" t="s">
        <v>28</v>
      </c>
      <c r="R73" s="50">
        <f>VLOOKUP(R68,$Q$3:$T$12,2,FALSE)</f>
        <v>248</v>
      </c>
      <c r="S73" s="50">
        <f>VLOOKUP(R68,$Q$3:$T$12,3,FALSE)</f>
        <v>212</v>
      </c>
      <c r="T73" s="50">
        <f>VLOOKUP(R68,$Q$3:$T$12,4,FALSE)</f>
        <v>115</v>
      </c>
      <c r="U73" s="47">
        <v>0</v>
      </c>
      <c r="W73" s="48" t="str">
        <f>LOWER(_xlfn.CONCAT("        --accent",R68,"-",Q73,": rgba(",R73,", ",S73,", ",T73,", ","1.00",");"))</f>
        <v xml:space="preserve">        --accent7-normal: rgba(248, 212, 115, 1.00);</v>
      </c>
      <c r="X73" s="48" t="str">
        <f>_xlfn.CONCAT("    .bg_a",R68,"-",LOWER(Q73),"{","background-color: var(--accent",R68,"-",LOWER(Q73),");","}")</f>
        <v xml:space="preserve">    .bg_a7-normal{background-color: var(--accent7-normal);}</v>
      </c>
    </row>
    <row r="74" spans="17:24" x14ac:dyDescent="0.45">
      <c r="Q74" s="27" t="s">
        <v>29</v>
      </c>
      <c r="R74" s="48">
        <f>ROUND(R73*(1+U74),0)</f>
        <v>186</v>
      </c>
      <c r="S74" s="48">
        <f>ROUND(S73*(1+U74),0)</f>
        <v>159</v>
      </c>
      <c r="T74" s="48">
        <f>ROUND(T73*(1+U74),0)</f>
        <v>86</v>
      </c>
      <c r="U74" s="47">
        <v>-0.25</v>
      </c>
      <c r="W74" s="48" t="str">
        <f>LOWER(_xlfn.CONCAT("        --accent",R68,"-",Q74,": rgba(",R74,", ",S74,", ",T74,", ","1.00",");"))</f>
        <v xml:space="preserve">        --accent7-dark: rgba(186, 159, 86, 1.00);</v>
      </c>
      <c r="X74" s="48" t="str">
        <f>_xlfn.CONCAT("    .bg_a",R68,"-",LOWER(Q74),"{","background-color: var(--accent",R68,"-",LOWER(Q74),");","}")</f>
        <v xml:space="preserve">    .bg_a7-dark{background-color: var(--accent7-dark);}</v>
      </c>
    </row>
    <row r="75" spans="17:24" x14ac:dyDescent="0.45">
      <c r="Q75" s="27" t="s">
        <v>30</v>
      </c>
      <c r="R75" s="48">
        <f>ROUND(R73*(1+U75),0)</f>
        <v>124</v>
      </c>
      <c r="S75" s="48">
        <f>ROUND(S73*(1+U75),0)</f>
        <v>106</v>
      </c>
      <c r="T75" s="48">
        <f>ROUND(T73*(1+U75),0)</f>
        <v>58</v>
      </c>
      <c r="U75" s="47">
        <v>-0.5</v>
      </c>
      <c r="W75" s="48" t="str">
        <f>LOWER(_xlfn.CONCAT("        --accent",R68,"-",Q75,": rgba(",R75,", ",S75,", ",T75,", ","1.00",");"))</f>
        <v xml:space="preserve">        --accent7-darker: rgba(124, 106, 58, 1.00);</v>
      </c>
      <c r="X75" s="48" t="str">
        <f>_xlfn.CONCAT("    .bg_a",R68,"-",LOWER(Q75),"{","background-color: var(--accent",R68,"-",LOWER(Q75),");","}")</f>
        <v xml:space="preserve">    .bg_a7-darker{background-color: var(--accent7-darker);}</v>
      </c>
    </row>
    <row r="76" spans="17:24" x14ac:dyDescent="0.45">
      <c r="Q76" s="27" t="s">
        <v>31</v>
      </c>
      <c r="R76" s="48">
        <f>ROUND(R73*(1+U76),0)</f>
        <v>62</v>
      </c>
      <c r="S76" s="48">
        <f>ROUND(S73*(1+U76),0)</f>
        <v>53</v>
      </c>
      <c r="T76" s="48">
        <f>ROUND(T73*(1+U76),0)</f>
        <v>29</v>
      </c>
      <c r="U76" s="47">
        <v>-0.75</v>
      </c>
      <c r="W76" s="48" t="str">
        <f>LOWER(_xlfn.CONCAT("        --accent",R68,"-",Q76,": rgba(",R76,", ",S76,", ",T76,", ","1.00",");"))</f>
        <v xml:space="preserve">        --accent7-darkest: rgba(62, 53, 29, 1.00);</v>
      </c>
      <c r="X76" s="48" t="str">
        <f>_xlfn.CONCAT("    .bg_a",R68,"-",LOWER(Q76),"{","background-color: var(--accent",R68,"-",LOWER(Q76),");","}")</f>
        <v xml:space="preserve">    .bg_a7-darkest{background-color: var(--accent7-darkest);}</v>
      </c>
    </row>
    <row r="77" spans="17:24" x14ac:dyDescent="0.45">
      <c r="Q77" s="27" t="s">
        <v>24</v>
      </c>
      <c r="R77" s="46">
        <v>8</v>
      </c>
    </row>
    <row r="78" spans="17:24" x14ac:dyDescent="0.45">
      <c r="R78" s="49" t="s">
        <v>33</v>
      </c>
      <c r="S78" s="49" t="s">
        <v>34</v>
      </c>
      <c r="T78" s="49" t="s">
        <v>35</v>
      </c>
      <c r="U78" s="49" t="s">
        <v>36</v>
      </c>
      <c r="W78" s="49"/>
      <c r="X78" s="49"/>
    </row>
    <row r="79" spans="17:24" x14ac:dyDescent="0.45">
      <c r="Q79" s="27" t="s">
        <v>25</v>
      </c>
      <c r="R79" s="48">
        <f>ROUND(255-((255-R82)*U79),0)</f>
        <v>230</v>
      </c>
      <c r="S79" s="48">
        <f>ROUND(255-((255-S82)*U79),0)</f>
        <v>217</v>
      </c>
      <c r="T79" s="48">
        <f>ROUND(255-((255-T82)*U79),0)</f>
        <v>213</v>
      </c>
      <c r="U79" s="47">
        <v>0.25</v>
      </c>
      <c r="W79" s="48" t="str">
        <f>LOWER(_xlfn.CONCAT("        --accent",R77,"-",Q79,": rgba(",R79,", ",S79,", ",T79,", ","1.00",");"))</f>
        <v xml:space="preserve">        --accent8-lightest: rgba(230, 217, 213, 1.00);</v>
      </c>
      <c r="X79" s="48" t="str">
        <f>_xlfn.CONCAT("    .bg_a",R77,"-",LOWER(Q79),"{","background-color: var(--accent",R77,"-",LOWER(Q79),");","}")</f>
        <v xml:space="preserve">    .bg_a8-lightest{background-color: var(--accent8-lightest);}</v>
      </c>
    </row>
    <row r="80" spans="17:24" x14ac:dyDescent="0.45">
      <c r="Q80" s="27" t="s">
        <v>26</v>
      </c>
      <c r="R80" s="48">
        <f>ROUND(255-((255-R82)*U80),0)</f>
        <v>204</v>
      </c>
      <c r="S80" s="48">
        <f>ROUND(255-((255-S82)*U80),0)</f>
        <v>180</v>
      </c>
      <c r="T80" s="48">
        <f>ROUND(255-((255-T82)*U80),0)</f>
        <v>171</v>
      </c>
      <c r="U80" s="47">
        <v>0.5</v>
      </c>
      <c r="W80" s="48" t="str">
        <f>LOWER(_xlfn.CONCAT("        --accent",R77,"-",Q80,": rgba(",R80,", ",S80,", ",T80,", ","1.00",");"))</f>
        <v xml:space="preserve">        --accent8-lighter: rgba(204, 180, 171, 1.00);</v>
      </c>
      <c r="X80" s="48" t="str">
        <f>_xlfn.CONCAT("    .bg_a",R77,"-",LOWER(Q80),"{","background-color: var(--accent",R77,"-",LOWER(Q80),");","}")</f>
        <v xml:space="preserve">    .bg_a8-lighter{background-color: var(--accent8-lighter);}</v>
      </c>
    </row>
    <row r="81" spans="17:24" x14ac:dyDescent="0.45">
      <c r="Q81" s="27" t="s">
        <v>27</v>
      </c>
      <c r="R81" s="48">
        <f>ROUND(255-((255-R82)*U81),0)</f>
        <v>179</v>
      </c>
      <c r="S81" s="48">
        <f>ROUND(255-((255-S82)*U81),0)</f>
        <v>142</v>
      </c>
      <c r="T81" s="48">
        <f>ROUND(255-((255-T82)*U81),0)</f>
        <v>129</v>
      </c>
      <c r="U81" s="47">
        <v>0.75</v>
      </c>
      <c r="W81" s="48" t="str">
        <f>LOWER(_xlfn.CONCAT("        --accent",R77,"-",Q81,": rgba(",R81,", ",S81,", ",T81,", ","1.00",");"))</f>
        <v xml:space="preserve">        --accent8-light: rgba(179, 142, 129, 1.00);</v>
      </c>
      <c r="X81" s="48" t="str">
        <f>_xlfn.CONCAT("    .bg_a",R77,"-",LOWER(Q81),"{","background-color: var(--accent",R77,"-",LOWER(Q81),");","}")</f>
        <v xml:space="preserve">    .bg_a8-light{background-color: var(--accent8-light);}</v>
      </c>
    </row>
    <row r="82" spans="17:24" x14ac:dyDescent="0.45">
      <c r="Q82" s="27" t="s">
        <v>28</v>
      </c>
      <c r="R82" s="50">
        <f>VLOOKUP(R77,$Q$3:$T$12,2,FALSE)</f>
        <v>153</v>
      </c>
      <c r="S82" s="50">
        <f>VLOOKUP(R77,$Q$3:$T$12,3,FALSE)</f>
        <v>104</v>
      </c>
      <c r="T82" s="50">
        <f>VLOOKUP(R77,$Q$3:$T$12,4,FALSE)</f>
        <v>87</v>
      </c>
      <c r="U82" s="47">
        <v>0</v>
      </c>
      <c r="W82" s="48" t="str">
        <f>LOWER(_xlfn.CONCAT("        --accent",R77,"-",Q82,": rgba(",R82,", ",S82,", ",T82,", ","1.00",");"))</f>
        <v xml:space="preserve">        --accent8-normal: rgba(153, 104, 87, 1.00);</v>
      </c>
      <c r="X82" s="48" t="str">
        <f>_xlfn.CONCAT("    .bg_a",R77,"-",LOWER(Q82),"{","background-color: var(--accent",R77,"-",LOWER(Q82),");","}")</f>
        <v xml:space="preserve">    .bg_a8-normal{background-color: var(--accent8-normal);}</v>
      </c>
    </row>
    <row r="83" spans="17:24" x14ac:dyDescent="0.45">
      <c r="Q83" s="27" t="s">
        <v>29</v>
      </c>
      <c r="R83" s="48">
        <f>ROUND(R82*(1+U83),0)</f>
        <v>115</v>
      </c>
      <c r="S83" s="48">
        <f>ROUND(S82*(1+U83),0)</f>
        <v>78</v>
      </c>
      <c r="T83" s="48">
        <f>ROUND(T82*(1+U83),0)</f>
        <v>65</v>
      </c>
      <c r="U83" s="47">
        <v>-0.25</v>
      </c>
      <c r="W83" s="48" t="str">
        <f>LOWER(_xlfn.CONCAT("        --accent",R77,"-",Q83,": rgba(",R83,", ",S83,", ",T83,", ","1.00",");"))</f>
        <v xml:space="preserve">        --accent8-dark: rgba(115, 78, 65, 1.00);</v>
      </c>
      <c r="X83" s="48" t="str">
        <f>_xlfn.CONCAT("    .bg_a",R77,"-",LOWER(Q83),"{","background-color: var(--accent",R77,"-",LOWER(Q83),");","}")</f>
        <v xml:space="preserve">    .bg_a8-dark{background-color: var(--accent8-dark);}</v>
      </c>
    </row>
    <row r="84" spans="17:24" x14ac:dyDescent="0.45">
      <c r="Q84" s="27" t="s">
        <v>30</v>
      </c>
      <c r="R84" s="48">
        <f>ROUND(R82*(1+U84),0)</f>
        <v>77</v>
      </c>
      <c r="S84" s="48">
        <f>ROUND(S82*(1+U84),0)</f>
        <v>52</v>
      </c>
      <c r="T84" s="48">
        <f>ROUND(T82*(1+U84),0)</f>
        <v>44</v>
      </c>
      <c r="U84" s="47">
        <v>-0.5</v>
      </c>
      <c r="W84" s="48" t="str">
        <f>LOWER(_xlfn.CONCAT("        --accent",R77,"-",Q84,": rgba(",R84,", ",S84,", ",T84,", ","1.00",");"))</f>
        <v xml:space="preserve">        --accent8-darker: rgba(77, 52, 44, 1.00);</v>
      </c>
      <c r="X84" s="48" t="str">
        <f>_xlfn.CONCAT("    .bg_a",R77,"-",LOWER(Q84),"{","background-color: var(--accent",R77,"-",LOWER(Q84),");","}")</f>
        <v xml:space="preserve">    .bg_a8-darker{background-color: var(--accent8-darker);}</v>
      </c>
    </row>
    <row r="85" spans="17:24" x14ac:dyDescent="0.45">
      <c r="Q85" s="27" t="s">
        <v>31</v>
      </c>
      <c r="R85" s="48">
        <f>ROUND(R82*(1+U85),0)</f>
        <v>38</v>
      </c>
      <c r="S85" s="48">
        <f>ROUND(S82*(1+U85),0)</f>
        <v>26</v>
      </c>
      <c r="T85" s="48">
        <f>ROUND(T82*(1+U85),0)</f>
        <v>22</v>
      </c>
      <c r="U85" s="47">
        <v>-0.75</v>
      </c>
      <c r="W85" s="48" t="str">
        <f>LOWER(_xlfn.CONCAT("        --accent",R77,"-",Q85,": rgba(",R85,", ",S85,", ",T85,", ","1.00",");"))</f>
        <v xml:space="preserve">        --accent8-darkest: rgba(38, 26, 22, 1.00);</v>
      </c>
      <c r="X85" s="48" t="str">
        <f>_xlfn.CONCAT("    .bg_a",R77,"-",LOWER(Q85),"{","background-color: var(--accent",R77,"-",LOWER(Q85),");","}")</f>
        <v xml:space="preserve">    .bg_a8-darkest{background-color: var(--accent8-darkest);}</v>
      </c>
    </row>
    <row r="86" spans="17:24" x14ac:dyDescent="0.45">
      <c r="Q86" s="27" t="s">
        <v>24</v>
      </c>
      <c r="R86" s="46">
        <v>9</v>
      </c>
    </row>
    <row r="87" spans="17:24" x14ac:dyDescent="0.45">
      <c r="R87" s="49" t="s">
        <v>33</v>
      </c>
      <c r="S87" s="49" t="s">
        <v>34</v>
      </c>
      <c r="T87" s="49" t="s">
        <v>35</v>
      </c>
      <c r="U87" s="49" t="s">
        <v>36</v>
      </c>
      <c r="W87" s="49"/>
      <c r="X87" s="49"/>
    </row>
    <row r="88" spans="17:24" x14ac:dyDescent="0.45">
      <c r="Q88" s="27" t="s">
        <v>25</v>
      </c>
      <c r="R88" s="48">
        <f>ROUND(255-((255-R91)*U88),0)</f>
        <v>217</v>
      </c>
      <c r="S88" s="48">
        <f>ROUND(255-((255-S91)*U88),0)</f>
        <v>220</v>
      </c>
      <c r="T88" s="48">
        <f>ROUND(255-((255-T91)*U88),0)</f>
        <v>225</v>
      </c>
      <c r="U88" s="47">
        <v>0.25</v>
      </c>
      <c r="W88" s="48" t="str">
        <f>LOWER(_xlfn.CONCAT("        --accent",R86,"-",Q88,": rgba(",R88,", ",S88,", ",T88,", ","1.00",");"))</f>
        <v xml:space="preserve">        --accent9-lightest: rgba(217, 220, 225, 1.00);</v>
      </c>
      <c r="X88" s="48" t="str">
        <f>_xlfn.CONCAT("    .bg_a",R86,"-",LOWER(Q88),"{","background-color: var(--accent",R86,"-",LOWER(Q88),");","}")</f>
        <v xml:space="preserve">    .bg_a9-lightest{background-color: var(--accent9-lightest);}</v>
      </c>
    </row>
    <row r="89" spans="17:24" x14ac:dyDescent="0.45">
      <c r="Q89" s="27" t="s">
        <v>26</v>
      </c>
      <c r="R89" s="48">
        <f>ROUND(255-((255-R91)*U89),0)</f>
        <v>178</v>
      </c>
      <c r="S89" s="48">
        <f>ROUND(255-((255-S91)*U89),0)</f>
        <v>186</v>
      </c>
      <c r="T89" s="48">
        <f>ROUND(255-((255-T91)*U89),0)</f>
        <v>195</v>
      </c>
      <c r="U89" s="47">
        <v>0.5</v>
      </c>
      <c r="W89" s="48" t="str">
        <f>LOWER(_xlfn.CONCAT("        --accent",R86,"-",Q89,": rgba(",R89,", ",S89,", ",T89,", ","1.00",");"))</f>
        <v xml:space="preserve">        --accent9-lighter: rgba(178, 186, 195, 1.00);</v>
      </c>
      <c r="X89" s="48" t="str">
        <f>_xlfn.CONCAT("    .bg_a",R86,"-",LOWER(Q89),"{","background-color: var(--accent",R86,"-",LOWER(Q89),");","}")</f>
        <v xml:space="preserve">    .bg_a9-lighter{background-color: var(--accent9-lighter);}</v>
      </c>
    </row>
    <row r="90" spans="17:24" x14ac:dyDescent="0.45">
      <c r="Q90" s="27" t="s">
        <v>27</v>
      </c>
      <c r="R90" s="48">
        <f>ROUND(255-((255-R91)*U90),0)</f>
        <v>140</v>
      </c>
      <c r="S90" s="48">
        <f>ROUND(255-((255-S91)*U90),0)</f>
        <v>151</v>
      </c>
      <c r="T90" s="48">
        <f>ROUND(255-((255-T91)*U90),0)</f>
        <v>164</v>
      </c>
      <c r="U90" s="47">
        <v>0.75</v>
      </c>
      <c r="W90" s="48" t="str">
        <f>LOWER(_xlfn.CONCAT("        --accent",R86,"-",Q90,": rgba(",R90,", ",S90,", ",T90,", ","1.00",");"))</f>
        <v xml:space="preserve">        --accent9-light: rgba(140, 151, 164, 1.00);</v>
      </c>
      <c r="X90" s="48" t="str">
        <f>_xlfn.CONCAT("    .bg_a",R86,"-",LOWER(Q90),"{","background-color: var(--accent",R86,"-",LOWER(Q90),");","}")</f>
        <v xml:space="preserve">    .bg_a9-light{background-color: var(--accent9-light);}</v>
      </c>
    </row>
    <row r="91" spans="17:24" x14ac:dyDescent="0.45">
      <c r="Q91" s="27" t="s">
        <v>28</v>
      </c>
      <c r="R91" s="50">
        <f>VLOOKUP(R86,$Q$3:$T$12,2,FALSE)</f>
        <v>101</v>
      </c>
      <c r="S91" s="50">
        <f>VLOOKUP(R86,$Q$3:$T$12,3,FALSE)</f>
        <v>116</v>
      </c>
      <c r="T91" s="50">
        <f>VLOOKUP(R86,$Q$3:$T$12,4,FALSE)</f>
        <v>134</v>
      </c>
      <c r="U91" s="47">
        <v>0</v>
      </c>
      <c r="W91" s="48" t="str">
        <f>LOWER(_xlfn.CONCAT("        --accent",R86,"-",Q91,": rgba(",R91,", ",S91,", ",T91,", ","1.00",");"))</f>
        <v xml:space="preserve">        --accent9-normal: rgba(101, 116, 134, 1.00);</v>
      </c>
      <c r="X91" s="48" t="str">
        <f>_xlfn.CONCAT("    .bg_a",R86,"-",LOWER(Q91),"{","background-color: var(--accent",R86,"-",LOWER(Q91),");","}")</f>
        <v xml:space="preserve">    .bg_a9-normal{background-color: var(--accent9-normal);}</v>
      </c>
    </row>
    <row r="92" spans="17:24" x14ac:dyDescent="0.45">
      <c r="Q92" s="27" t="s">
        <v>29</v>
      </c>
      <c r="R92" s="48">
        <f>ROUND(R91*(1+U92),0)</f>
        <v>76</v>
      </c>
      <c r="S92" s="48">
        <f>ROUND(S91*(1+U92),0)</f>
        <v>87</v>
      </c>
      <c r="T92" s="48">
        <f>ROUND(T91*(1+U92),0)</f>
        <v>101</v>
      </c>
      <c r="U92" s="47">
        <v>-0.25</v>
      </c>
      <c r="W92" s="48" t="str">
        <f>LOWER(_xlfn.CONCAT("        --accent",R86,"-",Q92,": rgba(",R92,", ",S92,", ",T92,", ","1.00",");"))</f>
        <v xml:space="preserve">        --accent9-dark: rgba(76, 87, 101, 1.00);</v>
      </c>
      <c r="X92" s="48" t="str">
        <f>_xlfn.CONCAT("    .bg_a",R86,"-",LOWER(Q92),"{","background-color: var(--accent",R86,"-",LOWER(Q92),");","}")</f>
        <v xml:space="preserve">    .bg_a9-dark{background-color: var(--accent9-dark);}</v>
      </c>
    </row>
    <row r="93" spans="17:24" x14ac:dyDescent="0.45">
      <c r="Q93" s="27" t="s">
        <v>30</v>
      </c>
      <c r="R93" s="48">
        <f>ROUND(R91*(1+U93),0)</f>
        <v>51</v>
      </c>
      <c r="S93" s="48">
        <f>ROUND(S91*(1+U93),0)</f>
        <v>58</v>
      </c>
      <c r="T93" s="48">
        <f>ROUND(T91*(1+U93),0)</f>
        <v>67</v>
      </c>
      <c r="U93" s="47">
        <v>-0.5</v>
      </c>
      <c r="W93" s="48" t="str">
        <f>LOWER(_xlfn.CONCAT("        --accent",R86,"-",Q93,": rgba(",R93,", ",S93,", ",T93,", ","1.00",");"))</f>
        <v xml:space="preserve">        --accent9-darker: rgba(51, 58, 67, 1.00);</v>
      </c>
      <c r="X93" s="48" t="str">
        <f>_xlfn.CONCAT("    .bg_a",R86,"-",LOWER(Q93),"{","background-color: var(--accent",R86,"-",LOWER(Q93),");","}")</f>
        <v xml:space="preserve">    .bg_a9-darker{background-color: var(--accent9-darker);}</v>
      </c>
    </row>
    <row r="94" spans="17:24" x14ac:dyDescent="0.45">
      <c r="Q94" s="27" t="s">
        <v>31</v>
      </c>
      <c r="R94" s="48">
        <f>ROUND(R91*(1+U94),0)</f>
        <v>25</v>
      </c>
      <c r="S94" s="48">
        <f>ROUND(S91*(1+U94),0)</f>
        <v>29</v>
      </c>
      <c r="T94" s="48">
        <f>ROUND(T91*(1+U94),0)</f>
        <v>34</v>
      </c>
      <c r="U94" s="47">
        <v>-0.75</v>
      </c>
      <c r="W94" s="48" t="str">
        <f>LOWER(_xlfn.CONCAT("        --accent",R86,"-",Q94,": rgba(",R94,", ",S94,", ",T94,", ","1.00",");"))</f>
        <v xml:space="preserve">        --accent9-darkest: rgba(25, 29, 34, 1.00);</v>
      </c>
      <c r="X94" s="48" t="str">
        <f>_xlfn.CONCAT("    .bg_a",R86,"-",LOWER(Q94),"{","background-color: var(--accent",R86,"-",LOWER(Q94),");","}")</f>
        <v xml:space="preserve">    .bg_a9-darkest{background-color: var(--accent9-darkest);}</v>
      </c>
    </row>
  </sheetData>
  <mergeCells count="1">
    <mergeCell ref="B2:N2"/>
  </mergeCell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5CA4-9FCD-4372-B960-282079273F4E}">
  <sheetPr>
    <tabColor rgb="FFFFFF00"/>
  </sheetPr>
  <dimension ref="B1:J166"/>
  <sheetViews>
    <sheetView workbookViewId="0">
      <selection activeCell="J166" sqref="J24:J166"/>
    </sheetView>
  </sheetViews>
  <sheetFormatPr defaultRowHeight="14.25" x14ac:dyDescent="0.45"/>
  <cols>
    <col min="1" max="1" width="3.59765625" customWidth="1"/>
    <col min="6" max="6" width="9.796875" bestFit="1" customWidth="1"/>
    <col min="7" max="7" width="6.59765625" bestFit="1" customWidth="1"/>
    <col min="8" max="8" width="38.796875" bestFit="1" customWidth="1"/>
    <col min="9" max="9" width="36.265625" bestFit="1" customWidth="1"/>
    <col min="10" max="10" width="25" bestFit="1" customWidth="1"/>
  </cols>
  <sheetData>
    <row r="1" spans="2:9" ht="14.65" thickBot="1" x14ac:dyDescent="0.5">
      <c r="G1" s="56" t="s">
        <v>56</v>
      </c>
      <c r="H1" s="56"/>
      <c r="I1" s="56"/>
    </row>
    <row r="2" spans="2:9" ht="14.65" thickBot="1" x14ac:dyDescent="0.5">
      <c r="G2" s="27" t="s">
        <v>37</v>
      </c>
      <c r="H2" s="46">
        <v>400</v>
      </c>
    </row>
    <row r="3" spans="2:9" ht="14.65" thickBot="1" x14ac:dyDescent="0.5">
      <c r="B3" t="s">
        <v>32</v>
      </c>
      <c r="C3" t="s">
        <v>33</v>
      </c>
      <c r="D3" t="s">
        <v>34</v>
      </c>
      <c r="E3" t="s">
        <v>35</v>
      </c>
      <c r="G3" s="52" t="s">
        <v>33</v>
      </c>
      <c r="H3" s="52" t="s">
        <v>34</v>
      </c>
      <c r="I3" s="52" t="s">
        <v>35</v>
      </c>
    </row>
    <row r="4" spans="2:9" x14ac:dyDescent="0.45">
      <c r="B4" t="s">
        <v>38</v>
      </c>
      <c r="C4">
        <v>98</v>
      </c>
      <c r="D4">
        <v>113</v>
      </c>
      <c r="E4">
        <v>189</v>
      </c>
      <c r="G4" s="48">
        <f>ROUND(C4/SUM($C4:$E4)*$H$2,0)</f>
        <v>98</v>
      </c>
      <c r="H4" s="48">
        <f t="shared" ref="H4:H12" si="0">ROUND(D4/SUM($C4:$E4)*$H$2,0)</f>
        <v>113</v>
      </c>
      <c r="I4" s="48">
        <f t="shared" ref="I4:I12" si="1">ROUND(E4/SUM($C4:$E4)*$H$2,0)</f>
        <v>189</v>
      </c>
    </row>
    <row r="5" spans="2:9" x14ac:dyDescent="0.45">
      <c r="B5" t="s">
        <v>39</v>
      </c>
      <c r="C5">
        <v>137</v>
      </c>
      <c r="D5">
        <v>115</v>
      </c>
      <c r="E5">
        <v>148</v>
      </c>
      <c r="G5" s="48">
        <f t="shared" ref="G5:G12" si="2">ROUND(C5/SUM($C5:$E5)*$H$2,0)</f>
        <v>137</v>
      </c>
      <c r="H5" s="48">
        <f t="shared" si="0"/>
        <v>115</v>
      </c>
      <c r="I5" s="48">
        <f t="shared" si="1"/>
        <v>148</v>
      </c>
    </row>
    <row r="6" spans="2:9" x14ac:dyDescent="0.45">
      <c r="B6" t="s">
        <v>40</v>
      </c>
      <c r="C6">
        <v>95</v>
      </c>
      <c r="D6">
        <v>131</v>
      </c>
      <c r="E6">
        <v>174</v>
      </c>
      <c r="G6" s="48">
        <f t="shared" si="2"/>
        <v>95</v>
      </c>
      <c r="H6" s="48">
        <f t="shared" si="0"/>
        <v>131</v>
      </c>
      <c r="I6" s="48">
        <f t="shared" si="1"/>
        <v>174</v>
      </c>
    </row>
    <row r="7" spans="2:9" x14ac:dyDescent="0.45">
      <c r="B7" t="s">
        <v>41</v>
      </c>
      <c r="C7">
        <v>82</v>
      </c>
      <c r="D7">
        <v>149</v>
      </c>
      <c r="E7">
        <v>169</v>
      </c>
      <c r="G7" s="48">
        <f t="shared" si="2"/>
        <v>82</v>
      </c>
      <c r="H7" s="48">
        <f t="shared" si="0"/>
        <v>149</v>
      </c>
      <c r="I7" s="48">
        <f t="shared" si="1"/>
        <v>169</v>
      </c>
    </row>
    <row r="8" spans="2:9" x14ac:dyDescent="0.45">
      <c r="B8" t="s">
        <v>42</v>
      </c>
      <c r="C8">
        <v>100</v>
      </c>
      <c r="D8">
        <v>153</v>
      </c>
      <c r="E8">
        <v>147</v>
      </c>
      <c r="G8" s="48">
        <f t="shared" si="2"/>
        <v>100</v>
      </c>
      <c r="H8" s="48">
        <f t="shared" si="0"/>
        <v>153</v>
      </c>
      <c r="I8" s="48">
        <f t="shared" si="1"/>
        <v>147</v>
      </c>
    </row>
    <row r="9" spans="2:9" x14ac:dyDescent="0.45">
      <c r="B9" t="s">
        <v>43</v>
      </c>
      <c r="C9">
        <v>186</v>
      </c>
      <c r="D9">
        <v>114</v>
      </c>
      <c r="E9">
        <v>100</v>
      </c>
      <c r="G9" s="48">
        <f t="shared" si="2"/>
        <v>186</v>
      </c>
      <c r="H9" s="48">
        <f t="shared" si="0"/>
        <v>114</v>
      </c>
      <c r="I9" s="48">
        <f t="shared" si="1"/>
        <v>100</v>
      </c>
    </row>
    <row r="10" spans="2:9" x14ac:dyDescent="0.45">
      <c r="B10" t="s">
        <v>44</v>
      </c>
      <c r="C10">
        <v>173</v>
      </c>
      <c r="D10">
        <v>147</v>
      </c>
      <c r="E10">
        <v>80</v>
      </c>
      <c r="G10" s="48">
        <f t="shared" si="2"/>
        <v>173</v>
      </c>
      <c r="H10" s="48">
        <f t="shared" si="0"/>
        <v>147</v>
      </c>
      <c r="I10" s="48">
        <f t="shared" si="1"/>
        <v>80</v>
      </c>
    </row>
    <row r="11" spans="2:9" x14ac:dyDescent="0.45">
      <c r="B11" t="s">
        <v>45</v>
      </c>
      <c r="C11">
        <v>178</v>
      </c>
      <c r="D11">
        <v>121</v>
      </c>
      <c r="E11">
        <v>101</v>
      </c>
      <c r="G11" s="48">
        <f t="shared" si="2"/>
        <v>178</v>
      </c>
      <c r="H11" s="48">
        <f t="shared" si="0"/>
        <v>121</v>
      </c>
      <c r="I11" s="48">
        <f t="shared" si="1"/>
        <v>101</v>
      </c>
    </row>
    <row r="12" spans="2:9" x14ac:dyDescent="0.45">
      <c r="B12" t="s">
        <v>46</v>
      </c>
      <c r="C12">
        <v>115</v>
      </c>
      <c r="D12">
        <v>132</v>
      </c>
      <c r="E12">
        <v>153</v>
      </c>
      <c r="G12" s="48">
        <f t="shared" si="2"/>
        <v>115</v>
      </c>
      <c r="H12" s="48">
        <f t="shared" si="0"/>
        <v>132</v>
      </c>
      <c r="I12" s="48">
        <f t="shared" si="1"/>
        <v>153</v>
      </c>
    </row>
    <row r="13" spans="2:9" x14ac:dyDescent="0.45">
      <c r="B13" t="s">
        <v>47</v>
      </c>
      <c r="C13">
        <v>227</v>
      </c>
      <c r="D13">
        <v>56</v>
      </c>
      <c r="E13">
        <v>117</v>
      </c>
      <c r="G13" s="48">
        <f t="shared" ref="G13:G21" si="3">ROUND(C13/SUM($C13:$E13)*$H$2,0)</f>
        <v>227</v>
      </c>
      <c r="H13" s="48">
        <f t="shared" ref="H13:H21" si="4">ROUND(D13/SUM($C13:$E13)*$H$2,0)</f>
        <v>56</v>
      </c>
      <c r="I13" s="48">
        <f t="shared" ref="I13:I21" si="5">ROUND(E13/SUM($C13:$E13)*$H$2,0)</f>
        <v>117</v>
      </c>
    </row>
    <row r="14" spans="2:9" x14ac:dyDescent="0.45">
      <c r="B14" t="s">
        <v>48</v>
      </c>
      <c r="C14">
        <v>294</v>
      </c>
      <c r="D14">
        <v>87</v>
      </c>
      <c r="E14">
        <v>19</v>
      </c>
      <c r="G14" s="48">
        <f t="shared" si="3"/>
        <v>294</v>
      </c>
      <c r="H14" s="48">
        <f t="shared" si="4"/>
        <v>87</v>
      </c>
      <c r="I14" s="48">
        <f t="shared" si="5"/>
        <v>19</v>
      </c>
    </row>
    <row r="15" spans="2:9" x14ac:dyDescent="0.45">
      <c r="B15" t="s">
        <v>49</v>
      </c>
      <c r="C15">
        <v>202</v>
      </c>
      <c r="D15">
        <v>180</v>
      </c>
      <c r="E15">
        <v>19</v>
      </c>
      <c r="G15" s="48">
        <f t="shared" si="3"/>
        <v>201</v>
      </c>
      <c r="H15" s="48">
        <f t="shared" si="4"/>
        <v>180</v>
      </c>
      <c r="I15" s="48">
        <f t="shared" si="5"/>
        <v>19</v>
      </c>
    </row>
    <row r="16" spans="2:9" x14ac:dyDescent="0.45">
      <c r="B16" t="s">
        <v>50</v>
      </c>
      <c r="C16">
        <v>132</v>
      </c>
      <c r="D16">
        <v>185</v>
      </c>
      <c r="E16">
        <v>83</v>
      </c>
      <c r="G16" s="48">
        <f t="shared" si="3"/>
        <v>132</v>
      </c>
      <c r="H16" s="48">
        <f t="shared" si="4"/>
        <v>185</v>
      </c>
      <c r="I16" s="48">
        <f t="shared" si="5"/>
        <v>83</v>
      </c>
    </row>
    <row r="17" spans="2:10" x14ac:dyDescent="0.45">
      <c r="B17" t="s">
        <v>51</v>
      </c>
      <c r="C17">
        <v>72</v>
      </c>
      <c r="D17">
        <v>193</v>
      </c>
      <c r="E17">
        <v>136</v>
      </c>
      <c r="G17" s="48">
        <f t="shared" si="3"/>
        <v>72</v>
      </c>
      <c r="H17" s="48">
        <f t="shared" si="4"/>
        <v>193</v>
      </c>
      <c r="I17" s="48">
        <f t="shared" si="5"/>
        <v>136</v>
      </c>
    </row>
    <row r="18" spans="2:10" x14ac:dyDescent="0.45">
      <c r="B18" t="s">
        <v>52</v>
      </c>
      <c r="C18">
        <v>57</v>
      </c>
      <c r="D18">
        <v>152</v>
      </c>
      <c r="E18">
        <v>191</v>
      </c>
      <c r="G18" s="48">
        <f t="shared" si="3"/>
        <v>57</v>
      </c>
      <c r="H18" s="48">
        <f t="shared" si="4"/>
        <v>152</v>
      </c>
      <c r="I18" s="48">
        <f t="shared" si="5"/>
        <v>191</v>
      </c>
    </row>
    <row r="19" spans="2:10" x14ac:dyDescent="0.45">
      <c r="B19" t="s">
        <v>53</v>
      </c>
      <c r="C19">
        <v>70</v>
      </c>
      <c r="D19">
        <v>109</v>
      </c>
      <c r="E19">
        <v>221</v>
      </c>
      <c r="G19" s="48">
        <f t="shared" si="3"/>
        <v>70</v>
      </c>
      <c r="H19" s="48">
        <f t="shared" si="4"/>
        <v>109</v>
      </c>
      <c r="I19" s="48">
        <f t="shared" si="5"/>
        <v>221</v>
      </c>
    </row>
    <row r="20" spans="2:10" x14ac:dyDescent="0.45">
      <c r="B20" t="s">
        <v>54</v>
      </c>
      <c r="C20">
        <v>138</v>
      </c>
      <c r="D20">
        <v>101</v>
      </c>
      <c r="E20">
        <v>161</v>
      </c>
      <c r="G20" s="48">
        <f t="shared" si="3"/>
        <v>138</v>
      </c>
      <c r="H20" s="48">
        <f t="shared" si="4"/>
        <v>101</v>
      </c>
      <c r="I20" s="48">
        <f t="shared" si="5"/>
        <v>161</v>
      </c>
    </row>
    <row r="21" spans="2:10" ht="14.65" thickBot="1" x14ac:dyDescent="0.5">
      <c r="B21" t="s">
        <v>55</v>
      </c>
      <c r="C21">
        <v>163</v>
      </c>
      <c r="D21">
        <v>106</v>
      </c>
      <c r="E21">
        <v>131</v>
      </c>
      <c r="G21" s="48">
        <f t="shared" si="3"/>
        <v>163</v>
      </c>
      <c r="H21" s="48">
        <f t="shared" si="4"/>
        <v>106</v>
      </c>
      <c r="I21" s="48">
        <f t="shared" si="5"/>
        <v>131</v>
      </c>
    </row>
    <row r="22" spans="2:10" ht="15" thickTop="1" thickBot="1" x14ac:dyDescent="0.5">
      <c r="H22" s="53" t="s">
        <v>60</v>
      </c>
      <c r="I22" s="53" t="s">
        <v>62</v>
      </c>
      <c r="J22" s="53" t="s">
        <v>61</v>
      </c>
    </row>
    <row r="23" spans="2:10" ht="14.65" thickTop="1" x14ac:dyDescent="0.45">
      <c r="B23" s="46" t="s">
        <v>38</v>
      </c>
      <c r="C23" s="49" t="s">
        <v>33</v>
      </c>
      <c r="D23" s="49" t="s">
        <v>34</v>
      </c>
      <c r="E23" s="49" t="s">
        <v>35</v>
      </c>
      <c r="F23" s="49" t="s">
        <v>36</v>
      </c>
      <c r="H23" s="49"/>
      <c r="I23" s="49"/>
      <c r="J23" s="49"/>
    </row>
    <row r="24" spans="2:10" x14ac:dyDescent="0.45">
      <c r="B24" s="27" t="s">
        <v>25</v>
      </c>
      <c r="C24" s="48">
        <f>ROUND(255-((255-C27)*F24),0)</f>
        <v>216</v>
      </c>
      <c r="D24" s="48">
        <f>ROUND(255-((255-D27)*F24),0)</f>
        <v>220</v>
      </c>
      <c r="E24" s="48">
        <f>ROUND(255-((255-E27)*F24),0)</f>
        <v>239</v>
      </c>
      <c r="F24" s="47">
        <v>0.25</v>
      </c>
      <c r="H24" s="48" t="str">
        <f>LOWER(_xlfn.CONCAT("    --",B23,"-",B24,": rgba(",C24,", ",D24,", ",E24,", ","1.00",");"))</f>
        <v xml:space="preserve">    --a1-lightest: rgba(216, 220, 239, 1.00);</v>
      </c>
      <c r="I24" s="48" t="str">
        <f>LOWER(_xlfn.CONCAT("  .color-",B23,"-",B24,"{","color: var(--",B23,"-",B24,");","}"))</f>
        <v xml:space="preserve">  .color-a1-lightest{color: var(--a1-lightest);}</v>
      </c>
      <c r="J24" s="48" t="str">
        <f>LOWER(_xlfn.CONCAT("  .bg-",B23,"-",B24,"{","background-color: var(--",B23,"-",B24,");","}"))</f>
        <v xml:space="preserve">  .bg-a1-lightest{background-color: var(--a1-lightest);}</v>
      </c>
    </row>
    <row r="25" spans="2:10" x14ac:dyDescent="0.45">
      <c r="B25" s="27" t="s">
        <v>26</v>
      </c>
      <c r="C25" s="48">
        <f>ROUND(255-((255-C27)*F25),0)</f>
        <v>177</v>
      </c>
      <c r="D25" s="48">
        <f>ROUND(255-((255-D27)*F25),0)</f>
        <v>184</v>
      </c>
      <c r="E25" s="48">
        <f>ROUND(255-((255-E27)*F25),0)</f>
        <v>222</v>
      </c>
      <c r="F25" s="47">
        <v>0.5</v>
      </c>
      <c r="H25" s="48" t="str">
        <f>LOWER(_xlfn.CONCAT("    --",B23,"-",B25,": rgba(",C25,", ",D25,", ",E25,", ","1.00",");"))</f>
        <v xml:space="preserve">    --a1-lighter: rgba(177, 184, 222, 1.00);</v>
      </c>
      <c r="I25" s="48" t="str">
        <f>LOWER(_xlfn.CONCAT("  .color-",B23,"-",B25,"{","color: var(--",B23,"-",B25,");","}"))</f>
        <v xml:space="preserve">  .color-a1-lighter{color: var(--a1-lighter);}</v>
      </c>
      <c r="J25" s="48" t="str">
        <f>LOWER(_xlfn.CONCAT("  .bg-",B23,"-",B25,"{","background-color: var(--",B23,"-",B25,");","}"))</f>
        <v xml:space="preserve">  .bg-a1-lighter{background-color: var(--a1-lighter);}</v>
      </c>
    </row>
    <row r="26" spans="2:10" x14ac:dyDescent="0.45">
      <c r="B26" s="27" t="s">
        <v>27</v>
      </c>
      <c r="C26" s="48">
        <f>ROUND(255-((255-C27)*F26),0)</f>
        <v>137</v>
      </c>
      <c r="D26" s="48">
        <f>ROUND(255-((255-D27)*F26),0)</f>
        <v>149</v>
      </c>
      <c r="E26" s="48">
        <f>ROUND(255-((255-E27)*F26),0)</f>
        <v>206</v>
      </c>
      <c r="F26" s="47">
        <v>0.75</v>
      </c>
      <c r="H26" s="48" t="str">
        <f>LOWER(_xlfn.CONCAT("    --",B23,"-",B26,": rgba(",C26,", ",D26,", ",E26,", ","1.00",");"))</f>
        <v xml:space="preserve">    --a1-light: rgba(137, 149, 206, 1.00);</v>
      </c>
      <c r="I26" s="48" t="str">
        <f>LOWER(_xlfn.CONCAT("  .color-",B23,"-",B26,"{","color: var(--",B23,"-",B26,");","}"))</f>
        <v xml:space="preserve">  .color-a1-light{color: var(--a1-light);}</v>
      </c>
      <c r="J26" s="48" t="str">
        <f>LOWER(_xlfn.CONCAT("  .bg-",B23,"-",B26,"{","background-color: var(--",B23,"-",B26,");","}"))</f>
        <v xml:space="preserve">  .bg-a1-light{background-color: var(--a1-light);}</v>
      </c>
    </row>
    <row r="27" spans="2:10" x14ac:dyDescent="0.45">
      <c r="B27" s="27" t="s">
        <v>28</v>
      </c>
      <c r="C27" s="50">
        <f>VLOOKUP(B23,$B$3:$E$21,2,FALSE)</f>
        <v>98</v>
      </c>
      <c r="D27" s="50">
        <f>VLOOKUP(B23,$B$3:$E$21,3,FALSE)</f>
        <v>113</v>
      </c>
      <c r="E27" s="50">
        <f>VLOOKUP(B23,$B$3:$E$21,4,FALSE)</f>
        <v>189</v>
      </c>
      <c r="F27" s="47">
        <v>0</v>
      </c>
      <c r="H27" s="48" t="str">
        <f>LOWER(_xlfn.CONCAT("    --",B23,"-",B27,": rgba(",C27,", ",D27,", ",E27,", ","1.00",");"))</f>
        <v xml:space="preserve">    --a1-normal: rgba(98, 113, 189, 1.00);</v>
      </c>
      <c r="I27" s="48" t="str">
        <f>LOWER(_xlfn.CONCAT("  .color-",B23,"-",B27,"{","color: var(--",B23,"-",B27,");","}"))</f>
        <v xml:space="preserve">  .color-a1-normal{color: var(--a1-normal);}</v>
      </c>
      <c r="J27" s="48" t="str">
        <f>LOWER(_xlfn.CONCAT("  .bg-",B23,"-",B27,"{","background-color: var(--",B23,"-",B27,");","}"))</f>
        <v xml:space="preserve">  .bg-a1-normal{background-color: var(--a1-normal);}</v>
      </c>
    </row>
    <row r="28" spans="2:10" x14ac:dyDescent="0.45">
      <c r="B28" s="27" t="s">
        <v>29</v>
      </c>
      <c r="C28" s="48">
        <f>ROUND(C27*(1+F28),0)</f>
        <v>74</v>
      </c>
      <c r="D28" s="48">
        <f>ROUND(D27*(1+F28),0)</f>
        <v>85</v>
      </c>
      <c r="E28" s="48">
        <f>ROUND(E27*(1+F28),0)</f>
        <v>142</v>
      </c>
      <c r="F28" s="47">
        <v>-0.25</v>
      </c>
      <c r="H28" s="48" t="str">
        <f>LOWER(_xlfn.CONCAT("    --",B23,"-",B28,": rgba(",C28,", ",D28,", ",E28,", ","1.00",");"))</f>
        <v xml:space="preserve">    --a1-dark: rgba(74, 85, 142, 1.00);</v>
      </c>
      <c r="I28" s="48" t="str">
        <f>LOWER(_xlfn.CONCAT("  .color-",B23,"-",B28,"{","color: var(--",B23,"-",B28,");","}"))</f>
        <v xml:space="preserve">  .color-a1-dark{color: var(--a1-dark);}</v>
      </c>
      <c r="J28" s="48" t="str">
        <f>LOWER(_xlfn.CONCAT("  .bg-",B23,"-",B28,"{","background-color: var(--",B23,"-",B28,");","}"))</f>
        <v xml:space="preserve">  .bg-a1-dark{background-color: var(--a1-dark);}</v>
      </c>
    </row>
    <row r="29" spans="2:10" x14ac:dyDescent="0.45">
      <c r="B29" s="27" t="s">
        <v>30</v>
      </c>
      <c r="C29" s="48">
        <f>ROUND(C27*(1+F29),0)</f>
        <v>49</v>
      </c>
      <c r="D29" s="48">
        <f>ROUND(D27*(1+F29),0)</f>
        <v>57</v>
      </c>
      <c r="E29" s="48">
        <f>ROUND(E27*(1+F29),0)</f>
        <v>95</v>
      </c>
      <c r="F29" s="47">
        <v>-0.5</v>
      </c>
      <c r="H29" s="48" t="str">
        <f>LOWER(_xlfn.CONCAT("    --",B23,"-",B29,": rgba(",C29,", ",D29,", ",E29,", ","1.00",");"))</f>
        <v xml:space="preserve">    --a1-darker: rgba(49, 57, 95, 1.00);</v>
      </c>
      <c r="I29" s="48" t="str">
        <f>LOWER(_xlfn.CONCAT("  .color-",B23,"-",B29,"{","color: var(--",B23,"-",B29,");","}"))</f>
        <v xml:space="preserve">  .color-a1-darker{color: var(--a1-darker);}</v>
      </c>
      <c r="J29" s="48" t="str">
        <f>LOWER(_xlfn.CONCAT("  .bg-",B23,"-",B29,"{","background-color: var(--",B23,"-",B29,");","}"))</f>
        <v xml:space="preserve">  .bg-a1-darker{background-color: var(--a1-darker);}</v>
      </c>
    </row>
    <row r="30" spans="2:10" x14ac:dyDescent="0.45">
      <c r="B30" s="27" t="s">
        <v>31</v>
      </c>
      <c r="C30" s="48">
        <f>ROUND(C27*(1+F30),0)</f>
        <v>25</v>
      </c>
      <c r="D30" s="48">
        <f>ROUND(D27*(1+F30),0)</f>
        <v>28</v>
      </c>
      <c r="E30" s="48">
        <f>ROUND(E27*(1+F30),0)</f>
        <v>47</v>
      </c>
      <c r="F30" s="47">
        <v>-0.75</v>
      </c>
      <c r="H30" s="48" t="str">
        <f>LOWER(_xlfn.CONCAT("    --",B23,"-",B30,": rgba(",C30,", ",D30,", ",E30,", ","1.00",");"))</f>
        <v xml:space="preserve">    --a1-darkest: rgba(25, 28, 47, 1.00);</v>
      </c>
      <c r="I30" s="48" t="str">
        <f>LOWER(_xlfn.CONCAT("  .color-",B23,"-",B30,"{","color: var(--",B23,"-",B30,");","}"))</f>
        <v xml:space="preserve">  .color-a1-darkest{color: var(--a1-darkest);}</v>
      </c>
      <c r="J30" s="48" t="str">
        <f>LOWER(_xlfn.CONCAT("  .bg-",B23,"-",B30,"{","background-color: var(--",B23,"-",B30,");","}"))</f>
        <v xml:space="preserve">  .bg-a1-darkest{background-color: var(--a1-darkest);}</v>
      </c>
    </row>
    <row r="31" spans="2:10" x14ac:dyDescent="0.45">
      <c r="B31" s="46" t="s">
        <v>39</v>
      </c>
      <c r="C31" s="49" t="s">
        <v>33</v>
      </c>
      <c r="D31" s="49" t="s">
        <v>34</v>
      </c>
      <c r="E31" s="49" t="s">
        <v>35</v>
      </c>
      <c r="F31" s="49" t="s">
        <v>36</v>
      </c>
      <c r="H31" s="49"/>
      <c r="I31" s="49"/>
      <c r="J31" s="49"/>
    </row>
    <row r="32" spans="2:10" x14ac:dyDescent="0.45">
      <c r="B32" s="27" t="s">
        <v>25</v>
      </c>
      <c r="C32" s="48">
        <f>ROUND(255-((255-C35)*F32),0)</f>
        <v>226</v>
      </c>
      <c r="D32" s="48">
        <f>ROUND(255-((255-D35)*F32),0)</f>
        <v>220</v>
      </c>
      <c r="E32" s="48">
        <f>ROUND(255-((255-E35)*F32),0)</f>
        <v>228</v>
      </c>
      <c r="F32" s="47">
        <v>0.25</v>
      </c>
      <c r="H32" s="48" t="str">
        <f t="shared" ref="H32" si="6">LOWER(_xlfn.CONCAT("    --",B31,"-",B32,": rgba(",C32,", ",D32,", ",E32,", ","1.00",");"))</f>
        <v xml:space="preserve">    --a2-lightest: rgba(226, 220, 228, 1.00);</v>
      </c>
      <c r="I32" s="48" t="str">
        <f t="shared" ref="I32" si="7">LOWER(_xlfn.CONCAT("  .color-",B31,"-",B32,"{","color: var(--",B31,"-",B32,");","}"))</f>
        <v xml:space="preserve">  .color-a2-lightest{color: var(--a2-lightest);}</v>
      </c>
      <c r="J32" s="48" t="str">
        <f t="shared" ref="J32" si="8">LOWER(_xlfn.CONCAT("  .bg-",B31,"-",B32,"{","background-color: var(--",B31,"-",B32,");","}"))</f>
        <v xml:space="preserve">  .bg-a2-lightest{background-color: var(--a2-lightest);}</v>
      </c>
    </row>
    <row r="33" spans="2:10" x14ac:dyDescent="0.45">
      <c r="B33" s="27" t="s">
        <v>26</v>
      </c>
      <c r="C33" s="48">
        <f>ROUND(255-((255-C35)*F33),0)</f>
        <v>196</v>
      </c>
      <c r="D33" s="48">
        <f>ROUND(255-((255-D35)*F33),0)</f>
        <v>185</v>
      </c>
      <c r="E33" s="48">
        <f>ROUND(255-((255-E35)*F33),0)</f>
        <v>202</v>
      </c>
      <c r="F33" s="47">
        <v>0.5</v>
      </c>
      <c r="H33" s="48" t="str">
        <f t="shared" ref="H33" si="9">LOWER(_xlfn.CONCAT("    --",B31,"-",B33,": rgba(",C33,", ",D33,", ",E33,", ","1.00",");"))</f>
        <v xml:space="preserve">    --a2-lighter: rgba(196, 185, 202, 1.00);</v>
      </c>
      <c r="I33" s="48" t="str">
        <f t="shared" ref="I33" si="10">LOWER(_xlfn.CONCAT("  .color-",B31,"-",B33,"{","color: var(--",B31,"-",B33,");","}"))</f>
        <v xml:space="preserve">  .color-a2-lighter{color: var(--a2-lighter);}</v>
      </c>
      <c r="J33" s="48" t="str">
        <f t="shared" ref="J33" si="11">LOWER(_xlfn.CONCAT("  .bg-",B31,"-",B33,"{","background-color: var(--",B31,"-",B33,");","}"))</f>
        <v xml:space="preserve">  .bg-a2-lighter{background-color: var(--a2-lighter);}</v>
      </c>
    </row>
    <row r="34" spans="2:10" x14ac:dyDescent="0.45">
      <c r="B34" s="27" t="s">
        <v>27</v>
      </c>
      <c r="C34" s="48">
        <f>ROUND(255-((255-C35)*F34),0)</f>
        <v>167</v>
      </c>
      <c r="D34" s="48">
        <f>ROUND(255-((255-D35)*F34),0)</f>
        <v>150</v>
      </c>
      <c r="E34" s="48">
        <f>ROUND(255-((255-E35)*F34),0)</f>
        <v>175</v>
      </c>
      <c r="F34" s="47">
        <v>0.75</v>
      </c>
      <c r="H34" s="48" t="str">
        <f t="shared" ref="H34" si="12">LOWER(_xlfn.CONCAT("    --",B31,"-",B34,": rgba(",C34,", ",D34,", ",E34,", ","1.00",");"))</f>
        <v xml:space="preserve">    --a2-light: rgba(167, 150, 175, 1.00);</v>
      </c>
      <c r="I34" s="48" t="str">
        <f t="shared" ref="I34" si="13">LOWER(_xlfn.CONCAT("  .color-",B31,"-",B34,"{","color: var(--",B31,"-",B34,");","}"))</f>
        <v xml:space="preserve">  .color-a2-light{color: var(--a2-light);}</v>
      </c>
      <c r="J34" s="48" t="str">
        <f t="shared" ref="J34" si="14">LOWER(_xlfn.CONCAT("  .bg-",B31,"-",B34,"{","background-color: var(--",B31,"-",B34,");","}"))</f>
        <v xml:space="preserve">  .bg-a2-light{background-color: var(--a2-light);}</v>
      </c>
    </row>
    <row r="35" spans="2:10" x14ac:dyDescent="0.45">
      <c r="B35" s="27" t="s">
        <v>28</v>
      </c>
      <c r="C35" s="50">
        <f>VLOOKUP(B31,$B$3:$E$21,2,FALSE)</f>
        <v>137</v>
      </c>
      <c r="D35" s="50">
        <f>VLOOKUP(B31,$B$3:$E$21,3,FALSE)</f>
        <v>115</v>
      </c>
      <c r="E35" s="50">
        <f>VLOOKUP(B31,$B$3:$E$21,4,FALSE)</f>
        <v>148</v>
      </c>
      <c r="F35" s="47">
        <v>0</v>
      </c>
      <c r="H35" s="48" t="str">
        <f t="shared" ref="H35" si="15">LOWER(_xlfn.CONCAT("    --",B31,"-",B35,": rgba(",C35,", ",D35,", ",E35,", ","1.00",");"))</f>
        <v xml:space="preserve">    --a2-normal: rgba(137, 115, 148, 1.00);</v>
      </c>
      <c r="I35" s="48" t="str">
        <f t="shared" ref="I35" si="16">LOWER(_xlfn.CONCAT("  .color-",B31,"-",B35,"{","color: var(--",B31,"-",B35,");","}"))</f>
        <v xml:space="preserve">  .color-a2-normal{color: var(--a2-normal);}</v>
      </c>
      <c r="J35" s="48" t="str">
        <f t="shared" ref="J35" si="17">LOWER(_xlfn.CONCAT("  .bg-",B31,"-",B35,"{","background-color: var(--",B31,"-",B35,");","}"))</f>
        <v xml:space="preserve">  .bg-a2-normal{background-color: var(--a2-normal);}</v>
      </c>
    </row>
    <row r="36" spans="2:10" x14ac:dyDescent="0.45">
      <c r="B36" s="27" t="s">
        <v>29</v>
      </c>
      <c r="C36" s="48">
        <f>ROUND(C35*(1+F36),0)</f>
        <v>103</v>
      </c>
      <c r="D36" s="48">
        <f>ROUND(D35*(1+F36),0)</f>
        <v>86</v>
      </c>
      <c r="E36" s="48">
        <f>ROUND(E35*(1+F36),0)</f>
        <v>111</v>
      </c>
      <c r="F36" s="47">
        <v>-0.25</v>
      </c>
      <c r="H36" s="48" t="str">
        <f t="shared" ref="H36" si="18">LOWER(_xlfn.CONCAT("    --",B31,"-",B36,": rgba(",C36,", ",D36,", ",E36,", ","1.00",");"))</f>
        <v xml:space="preserve">    --a2-dark: rgba(103, 86, 111, 1.00);</v>
      </c>
      <c r="I36" s="48" t="str">
        <f t="shared" ref="I36" si="19">LOWER(_xlfn.CONCAT("  .color-",B31,"-",B36,"{","color: var(--",B31,"-",B36,");","}"))</f>
        <v xml:space="preserve">  .color-a2-dark{color: var(--a2-dark);}</v>
      </c>
      <c r="J36" s="48" t="str">
        <f t="shared" ref="J36" si="20">LOWER(_xlfn.CONCAT("  .bg-",B31,"-",B36,"{","background-color: var(--",B31,"-",B36,");","}"))</f>
        <v xml:space="preserve">  .bg-a2-dark{background-color: var(--a2-dark);}</v>
      </c>
    </row>
    <row r="37" spans="2:10" x14ac:dyDescent="0.45">
      <c r="B37" s="27" t="s">
        <v>30</v>
      </c>
      <c r="C37" s="48">
        <f>ROUND(C35*(1+F37),0)</f>
        <v>69</v>
      </c>
      <c r="D37" s="48">
        <f>ROUND(D35*(1+F37),0)</f>
        <v>58</v>
      </c>
      <c r="E37" s="48">
        <f>ROUND(E35*(1+F37),0)</f>
        <v>74</v>
      </c>
      <c r="F37" s="47">
        <v>-0.5</v>
      </c>
      <c r="H37" s="48" t="str">
        <f t="shared" ref="H37" si="21">LOWER(_xlfn.CONCAT("    --",B31,"-",B37,": rgba(",C37,", ",D37,", ",E37,", ","1.00",");"))</f>
        <v xml:space="preserve">    --a2-darker: rgba(69, 58, 74, 1.00);</v>
      </c>
      <c r="I37" s="48" t="str">
        <f t="shared" ref="I37" si="22">LOWER(_xlfn.CONCAT("  .color-",B31,"-",B37,"{","color: var(--",B31,"-",B37,");","}"))</f>
        <v xml:space="preserve">  .color-a2-darker{color: var(--a2-darker);}</v>
      </c>
      <c r="J37" s="48" t="str">
        <f t="shared" ref="J37" si="23">LOWER(_xlfn.CONCAT("  .bg-",B31,"-",B37,"{","background-color: var(--",B31,"-",B37,");","}"))</f>
        <v xml:space="preserve">  .bg-a2-darker{background-color: var(--a2-darker);}</v>
      </c>
    </row>
    <row r="38" spans="2:10" x14ac:dyDescent="0.45">
      <c r="B38" s="27" t="s">
        <v>31</v>
      </c>
      <c r="C38" s="48">
        <f>ROUND(C35*(1+F38),0)</f>
        <v>34</v>
      </c>
      <c r="D38" s="48">
        <f>ROUND(D35*(1+F38),0)</f>
        <v>29</v>
      </c>
      <c r="E38" s="48">
        <f>ROUND(E35*(1+F38),0)</f>
        <v>37</v>
      </c>
      <c r="F38" s="47">
        <v>-0.75</v>
      </c>
      <c r="H38" s="48" t="str">
        <f t="shared" ref="H38" si="24">LOWER(_xlfn.CONCAT("    --",B31,"-",B38,": rgba(",C38,", ",D38,", ",E38,", ","1.00",");"))</f>
        <v xml:space="preserve">    --a2-darkest: rgba(34, 29, 37, 1.00);</v>
      </c>
      <c r="I38" s="48" t="str">
        <f t="shared" ref="I38" si="25">LOWER(_xlfn.CONCAT("  .color-",B31,"-",B38,"{","color: var(--",B31,"-",B38,");","}"))</f>
        <v xml:space="preserve">  .color-a2-darkest{color: var(--a2-darkest);}</v>
      </c>
      <c r="J38" s="48" t="str">
        <f t="shared" ref="J38" si="26">LOWER(_xlfn.CONCAT("  .bg-",B31,"-",B38,"{","background-color: var(--",B31,"-",B38,");","}"))</f>
        <v xml:space="preserve">  .bg-a2-darkest{background-color: var(--a2-darkest);}</v>
      </c>
    </row>
    <row r="39" spans="2:10" x14ac:dyDescent="0.45">
      <c r="B39" s="46" t="s">
        <v>40</v>
      </c>
      <c r="C39" s="49" t="s">
        <v>33</v>
      </c>
      <c r="D39" s="49" t="s">
        <v>34</v>
      </c>
      <c r="E39" s="49" t="s">
        <v>35</v>
      </c>
      <c r="F39" s="49" t="s">
        <v>36</v>
      </c>
      <c r="H39" s="49"/>
      <c r="I39" s="49"/>
      <c r="J39" s="49"/>
    </row>
    <row r="40" spans="2:10" x14ac:dyDescent="0.45">
      <c r="B40" s="27" t="s">
        <v>25</v>
      </c>
      <c r="C40" s="48">
        <f>ROUND(255-((255-C43)*F40),0)</f>
        <v>215</v>
      </c>
      <c r="D40" s="48">
        <f>ROUND(255-((255-D43)*F40),0)</f>
        <v>224</v>
      </c>
      <c r="E40" s="48">
        <f>ROUND(255-((255-E43)*F40),0)</f>
        <v>235</v>
      </c>
      <c r="F40" s="47">
        <v>0.25</v>
      </c>
      <c r="H40" s="48" t="str">
        <f t="shared" ref="H40" si="27">LOWER(_xlfn.CONCAT("    --",B39,"-",B40,": rgba(",C40,", ",D40,", ",E40,", ","1.00",");"))</f>
        <v xml:space="preserve">    --a3-lightest: rgba(215, 224, 235, 1.00);</v>
      </c>
      <c r="I40" s="48" t="str">
        <f t="shared" ref="I40" si="28">LOWER(_xlfn.CONCAT("  .color-",B39,"-",B40,"{","color: var(--",B39,"-",B40,");","}"))</f>
        <v xml:space="preserve">  .color-a3-lightest{color: var(--a3-lightest);}</v>
      </c>
      <c r="J40" s="48" t="str">
        <f t="shared" ref="J40" si="29">LOWER(_xlfn.CONCAT("  .bg-",B39,"-",B40,"{","background-color: var(--",B39,"-",B40,");","}"))</f>
        <v xml:space="preserve">  .bg-a3-lightest{background-color: var(--a3-lightest);}</v>
      </c>
    </row>
    <row r="41" spans="2:10" x14ac:dyDescent="0.45">
      <c r="B41" s="27" t="s">
        <v>26</v>
      </c>
      <c r="C41" s="48">
        <f>ROUND(255-((255-C43)*F41),0)</f>
        <v>175</v>
      </c>
      <c r="D41" s="48">
        <f>ROUND(255-((255-D43)*F41),0)</f>
        <v>193</v>
      </c>
      <c r="E41" s="48">
        <f>ROUND(255-((255-E43)*F41),0)</f>
        <v>215</v>
      </c>
      <c r="F41" s="47">
        <v>0.5</v>
      </c>
      <c r="H41" s="48" t="str">
        <f t="shared" ref="H41" si="30">LOWER(_xlfn.CONCAT("    --",B39,"-",B41,": rgba(",C41,", ",D41,", ",E41,", ","1.00",");"))</f>
        <v xml:space="preserve">    --a3-lighter: rgba(175, 193, 215, 1.00);</v>
      </c>
      <c r="I41" s="48" t="str">
        <f t="shared" ref="I41" si="31">LOWER(_xlfn.CONCAT("  .color-",B39,"-",B41,"{","color: var(--",B39,"-",B41,");","}"))</f>
        <v xml:space="preserve">  .color-a3-lighter{color: var(--a3-lighter);}</v>
      </c>
      <c r="J41" s="48" t="str">
        <f t="shared" ref="J41" si="32">LOWER(_xlfn.CONCAT("  .bg-",B39,"-",B41,"{","background-color: var(--",B39,"-",B41,");","}"))</f>
        <v xml:space="preserve">  .bg-a3-lighter{background-color: var(--a3-lighter);}</v>
      </c>
    </row>
    <row r="42" spans="2:10" x14ac:dyDescent="0.45">
      <c r="B42" s="27" t="s">
        <v>27</v>
      </c>
      <c r="C42" s="48">
        <f>ROUND(255-((255-C43)*F42),0)</f>
        <v>135</v>
      </c>
      <c r="D42" s="48">
        <f>ROUND(255-((255-D43)*F42),0)</f>
        <v>162</v>
      </c>
      <c r="E42" s="48">
        <f>ROUND(255-((255-E43)*F42),0)</f>
        <v>194</v>
      </c>
      <c r="F42" s="47">
        <v>0.75</v>
      </c>
      <c r="H42" s="48" t="str">
        <f t="shared" ref="H42" si="33">LOWER(_xlfn.CONCAT("    --",B39,"-",B42,": rgba(",C42,", ",D42,", ",E42,", ","1.00",");"))</f>
        <v xml:space="preserve">    --a3-light: rgba(135, 162, 194, 1.00);</v>
      </c>
      <c r="I42" s="48" t="str">
        <f t="shared" ref="I42" si="34">LOWER(_xlfn.CONCAT("  .color-",B39,"-",B42,"{","color: var(--",B39,"-",B42,");","}"))</f>
        <v xml:space="preserve">  .color-a3-light{color: var(--a3-light);}</v>
      </c>
      <c r="J42" s="48" t="str">
        <f t="shared" ref="J42" si="35">LOWER(_xlfn.CONCAT("  .bg-",B39,"-",B42,"{","background-color: var(--",B39,"-",B42,");","}"))</f>
        <v xml:space="preserve">  .bg-a3-light{background-color: var(--a3-light);}</v>
      </c>
    </row>
    <row r="43" spans="2:10" x14ac:dyDescent="0.45">
      <c r="B43" s="27" t="s">
        <v>28</v>
      </c>
      <c r="C43" s="50">
        <f>VLOOKUP(B39,$B$3:$E$21,2,FALSE)</f>
        <v>95</v>
      </c>
      <c r="D43" s="50">
        <f>VLOOKUP(B39,$B$3:$E$21,3,FALSE)</f>
        <v>131</v>
      </c>
      <c r="E43" s="50">
        <f>VLOOKUP(B39,$B$3:$E$21,4,FALSE)</f>
        <v>174</v>
      </c>
      <c r="F43" s="47">
        <v>0</v>
      </c>
      <c r="H43" s="48" t="str">
        <f t="shared" ref="H43" si="36">LOWER(_xlfn.CONCAT("    --",B39,"-",B43,": rgba(",C43,", ",D43,", ",E43,", ","1.00",");"))</f>
        <v xml:space="preserve">    --a3-normal: rgba(95, 131, 174, 1.00);</v>
      </c>
      <c r="I43" s="48" t="str">
        <f t="shared" ref="I43" si="37">LOWER(_xlfn.CONCAT("  .color-",B39,"-",B43,"{","color: var(--",B39,"-",B43,");","}"))</f>
        <v xml:space="preserve">  .color-a3-normal{color: var(--a3-normal);}</v>
      </c>
      <c r="J43" s="48" t="str">
        <f t="shared" ref="J43" si="38">LOWER(_xlfn.CONCAT("  .bg-",B39,"-",B43,"{","background-color: var(--",B39,"-",B43,");","}"))</f>
        <v xml:space="preserve">  .bg-a3-normal{background-color: var(--a3-normal);}</v>
      </c>
    </row>
    <row r="44" spans="2:10" x14ac:dyDescent="0.45">
      <c r="B44" s="27" t="s">
        <v>29</v>
      </c>
      <c r="C44" s="48">
        <f>ROUND(C43*(1+F44),0)</f>
        <v>71</v>
      </c>
      <c r="D44" s="48">
        <f>ROUND(D43*(1+F44),0)</f>
        <v>98</v>
      </c>
      <c r="E44" s="48">
        <f>ROUND(E43*(1+F44),0)</f>
        <v>131</v>
      </c>
      <c r="F44" s="47">
        <v>-0.25</v>
      </c>
      <c r="H44" s="48" t="str">
        <f t="shared" ref="H44" si="39">LOWER(_xlfn.CONCAT("    --",B39,"-",B44,": rgba(",C44,", ",D44,", ",E44,", ","1.00",");"))</f>
        <v xml:space="preserve">    --a3-dark: rgba(71, 98, 131, 1.00);</v>
      </c>
      <c r="I44" s="48" t="str">
        <f t="shared" ref="I44" si="40">LOWER(_xlfn.CONCAT("  .color-",B39,"-",B44,"{","color: var(--",B39,"-",B44,");","}"))</f>
        <v xml:space="preserve">  .color-a3-dark{color: var(--a3-dark);}</v>
      </c>
      <c r="J44" s="48" t="str">
        <f t="shared" ref="J44" si="41">LOWER(_xlfn.CONCAT("  .bg-",B39,"-",B44,"{","background-color: var(--",B39,"-",B44,");","}"))</f>
        <v xml:space="preserve">  .bg-a3-dark{background-color: var(--a3-dark);}</v>
      </c>
    </row>
    <row r="45" spans="2:10" x14ac:dyDescent="0.45">
      <c r="B45" s="27" t="s">
        <v>30</v>
      </c>
      <c r="C45" s="48">
        <f>ROUND(C43*(1+F45),0)</f>
        <v>48</v>
      </c>
      <c r="D45" s="48">
        <f>ROUND(D43*(1+F45),0)</f>
        <v>66</v>
      </c>
      <c r="E45" s="48">
        <f>ROUND(E43*(1+F45),0)</f>
        <v>87</v>
      </c>
      <c r="F45" s="47">
        <v>-0.5</v>
      </c>
      <c r="H45" s="48" t="str">
        <f t="shared" ref="H45" si="42">LOWER(_xlfn.CONCAT("    --",B39,"-",B45,": rgba(",C45,", ",D45,", ",E45,", ","1.00",");"))</f>
        <v xml:space="preserve">    --a3-darker: rgba(48, 66, 87, 1.00);</v>
      </c>
      <c r="I45" s="48" t="str">
        <f t="shared" ref="I45" si="43">LOWER(_xlfn.CONCAT("  .color-",B39,"-",B45,"{","color: var(--",B39,"-",B45,");","}"))</f>
        <v xml:space="preserve">  .color-a3-darker{color: var(--a3-darker);}</v>
      </c>
      <c r="J45" s="48" t="str">
        <f t="shared" ref="J45" si="44">LOWER(_xlfn.CONCAT("  .bg-",B39,"-",B45,"{","background-color: var(--",B39,"-",B45,");","}"))</f>
        <v xml:space="preserve">  .bg-a3-darker{background-color: var(--a3-darker);}</v>
      </c>
    </row>
    <row r="46" spans="2:10" x14ac:dyDescent="0.45">
      <c r="B46" s="27" t="s">
        <v>31</v>
      </c>
      <c r="C46" s="48">
        <f>ROUND(C43*(1+F46),0)</f>
        <v>24</v>
      </c>
      <c r="D46" s="48">
        <f>ROUND(D43*(1+F46),0)</f>
        <v>33</v>
      </c>
      <c r="E46" s="48">
        <f>ROUND(E43*(1+F46),0)</f>
        <v>44</v>
      </c>
      <c r="F46" s="47">
        <v>-0.75</v>
      </c>
      <c r="H46" s="48" t="str">
        <f t="shared" ref="H46" si="45">LOWER(_xlfn.CONCAT("    --",B39,"-",B46,": rgba(",C46,", ",D46,", ",E46,", ","1.00",");"))</f>
        <v xml:space="preserve">    --a3-darkest: rgba(24, 33, 44, 1.00);</v>
      </c>
      <c r="I46" s="48" t="str">
        <f t="shared" ref="I46" si="46">LOWER(_xlfn.CONCAT("  .color-",B39,"-",B46,"{","color: var(--",B39,"-",B46,");","}"))</f>
        <v xml:space="preserve">  .color-a3-darkest{color: var(--a3-darkest);}</v>
      </c>
      <c r="J46" s="48" t="str">
        <f t="shared" ref="J46" si="47">LOWER(_xlfn.CONCAT("  .bg-",B39,"-",B46,"{","background-color: var(--",B39,"-",B46,");","}"))</f>
        <v xml:space="preserve">  .bg-a3-darkest{background-color: var(--a3-darkest);}</v>
      </c>
    </row>
    <row r="47" spans="2:10" x14ac:dyDescent="0.45">
      <c r="B47" s="46" t="s">
        <v>41</v>
      </c>
      <c r="C47" s="49" t="s">
        <v>33</v>
      </c>
      <c r="D47" s="49" t="s">
        <v>34</v>
      </c>
      <c r="E47" s="49" t="s">
        <v>35</v>
      </c>
      <c r="F47" s="49" t="s">
        <v>36</v>
      </c>
      <c r="H47" s="49"/>
      <c r="I47" s="49"/>
      <c r="J47" s="49"/>
    </row>
    <row r="48" spans="2:10" x14ac:dyDescent="0.45">
      <c r="B48" s="27" t="s">
        <v>25</v>
      </c>
      <c r="C48" s="48">
        <f>ROUND(255-((255-C51)*F48),0)</f>
        <v>212</v>
      </c>
      <c r="D48" s="48">
        <f>ROUND(255-((255-D51)*F48),0)</f>
        <v>229</v>
      </c>
      <c r="E48" s="48">
        <f>ROUND(255-((255-E51)*F48),0)</f>
        <v>234</v>
      </c>
      <c r="F48" s="47">
        <v>0.25</v>
      </c>
      <c r="H48" s="48" t="str">
        <f t="shared" ref="H48" si="48">LOWER(_xlfn.CONCAT("    --",B47,"-",B48,": rgba(",C48,", ",D48,", ",E48,", ","1.00",");"))</f>
        <v xml:space="preserve">    --a4-lightest: rgba(212, 229, 234, 1.00);</v>
      </c>
      <c r="I48" s="48" t="str">
        <f t="shared" ref="I48" si="49">LOWER(_xlfn.CONCAT("  .color-",B47,"-",B48,"{","color: var(--",B47,"-",B48,");","}"))</f>
        <v xml:space="preserve">  .color-a4-lightest{color: var(--a4-lightest);}</v>
      </c>
      <c r="J48" s="48" t="str">
        <f t="shared" ref="J48" si="50">LOWER(_xlfn.CONCAT("  .bg-",B47,"-",B48,"{","background-color: var(--",B47,"-",B48,");","}"))</f>
        <v xml:space="preserve">  .bg-a4-lightest{background-color: var(--a4-lightest);}</v>
      </c>
    </row>
    <row r="49" spans="2:10" x14ac:dyDescent="0.45">
      <c r="B49" s="27" t="s">
        <v>26</v>
      </c>
      <c r="C49" s="48">
        <f>ROUND(255-((255-C51)*F49),0)</f>
        <v>169</v>
      </c>
      <c r="D49" s="48">
        <f>ROUND(255-((255-D51)*F49),0)</f>
        <v>202</v>
      </c>
      <c r="E49" s="48">
        <f>ROUND(255-((255-E51)*F49),0)</f>
        <v>212</v>
      </c>
      <c r="F49" s="47">
        <v>0.5</v>
      </c>
      <c r="H49" s="48" t="str">
        <f t="shared" ref="H49" si="51">LOWER(_xlfn.CONCAT("    --",B47,"-",B49,": rgba(",C49,", ",D49,", ",E49,", ","1.00",");"))</f>
        <v xml:space="preserve">    --a4-lighter: rgba(169, 202, 212, 1.00);</v>
      </c>
      <c r="I49" s="48" t="str">
        <f t="shared" ref="I49" si="52">LOWER(_xlfn.CONCAT("  .color-",B47,"-",B49,"{","color: var(--",B47,"-",B49,");","}"))</f>
        <v xml:space="preserve">  .color-a4-lighter{color: var(--a4-lighter);}</v>
      </c>
      <c r="J49" s="48" t="str">
        <f t="shared" ref="J49" si="53">LOWER(_xlfn.CONCAT("  .bg-",B47,"-",B49,"{","background-color: var(--",B47,"-",B49,");","}"))</f>
        <v xml:space="preserve">  .bg-a4-lighter{background-color: var(--a4-lighter);}</v>
      </c>
    </row>
    <row r="50" spans="2:10" x14ac:dyDescent="0.45">
      <c r="B50" s="27" t="s">
        <v>27</v>
      </c>
      <c r="C50" s="48">
        <f>ROUND(255-((255-C51)*F50),0)</f>
        <v>125</v>
      </c>
      <c r="D50" s="48">
        <f>ROUND(255-((255-D51)*F50),0)</f>
        <v>176</v>
      </c>
      <c r="E50" s="48">
        <f>ROUND(255-((255-E51)*F50),0)</f>
        <v>191</v>
      </c>
      <c r="F50" s="47">
        <v>0.75</v>
      </c>
      <c r="H50" s="48" t="str">
        <f t="shared" ref="H50" si="54">LOWER(_xlfn.CONCAT("    --",B47,"-",B50,": rgba(",C50,", ",D50,", ",E50,", ","1.00",");"))</f>
        <v xml:space="preserve">    --a4-light: rgba(125, 176, 191, 1.00);</v>
      </c>
      <c r="I50" s="48" t="str">
        <f t="shared" ref="I50" si="55">LOWER(_xlfn.CONCAT("  .color-",B47,"-",B50,"{","color: var(--",B47,"-",B50,");","}"))</f>
        <v xml:space="preserve">  .color-a4-light{color: var(--a4-light);}</v>
      </c>
      <c r="J50" s="48" t="str">
        <f t="shared" ref="J50" si="56">LOWER(_xlfn.CONCAT("  .bg-",B47,"-",B50,"{","background-color: var(--",B47,"-",B50,");","}"))</f>
        <v xml:space="preserve">  .bg-a4-light{background-color: var(--a4-light);}</v>
      </c>
    </row>
    <row r="51" spans="2:10" x14ac:dyDescent="0.45">
      <c r="B51" s="27" t="s">
        <v>28</v>
      </c>
      <c r="C51" s="50">
        <f>VLOOKUP(B47,$B$3:$E$21,2,FALSE)</f>
        <v>82</v>
      </c>
      <c r="D51" s="50">
        <f>VLOOKUP(B47,$B$3:$E$21,3,FALSE)</f>
        <v>149</v>
      </c>
      <c r="E51" s="50">
        <f>VLOOKUP(B47,$B$3:$E$21,4,FALSE)</f>
        <v>169</v>
      </c>
      <c r="F51" s="47">
        <v>0</v>
      </c>
      <c r="H51" s="48" t="str">
        <f t="shared" ref="H51" si="57">LOWER(_xlfn.CONCAT("    --",B47,"-",B51,": rgba(",C51,", ",D51,", ",E51,", ","1.00",");"))</f>
        <v xml:space="preserve">    --a4-normal: rgba(82, 149, 169, 1.00);</v>
      </c>
      <c r="I51" s="48" t="str">
        <f t="shared" ref="I51" si="58">LOWER(_xlfn.CONCAT("  .color-",B47,"-",B51,"{","color: var(--",B47,"-",B51,");","}"))</f>
        <v xml:space="preserve">  .color-a4-normal{color: var(--a4-normal);}</v>
      </c>
      <c r="J51" s="48" t="str">
        <f t="shared" ref="J51" si="59">LOWER(_xlfn.CONCAT("  .bg-",B47,"-",B51,"{","background-color: var(--",B47,"-",B51,");","}"))</f>
        <v xml:space="preserve">  .bg-a4-normal{background-color: var(--a4-normal);}</v>
      </c>
    </row>
    <row r="52" spans="2:10" x14ac:dyDescent="0.45">
      <c r="B52" s="27" t="s">
        <v>29</v>
      </c>
      <c r="C52" s="48">
        <f>ROUND(C51*(1+F52),0)</f>
        <v>62</v>
      </c>
      <c r="D52" s="48">
        <f>ROUND(D51*(1+F52),0)</f>
        <v>112</v>
      </c>
      <c r="E52" s="48">
        <f>ROUND(E51*(1+F52),0)</f>
        <v>127</v>
      </c>
      <c r="F52" s="47">
        <v>-0.25</v>
      </c>
      <c r="H52" s="48" t="str">
        <f t="shared" ref="H52" si="60">LOWER(_xlfn.CONCAT("    --",B47,"-",B52,": rgba(",C52,", ",D52,", ",E52,", ","1.00",");"))</f>
        <v xml:space="preserve">    --a4-dark: rgba(62, 112, 127, 1.00);</v>
      </c>
      <c r="I52" s="48" t="str">
        <f t="shared" ref="I52" si="61">LOWER(_xlfn.CONCAT("  .color-",B47,"-",B52,"{","color: var(--",B47,"-",B52,");","}"))</f>
        <v xml:space="preserve">  .color-a4-dark{color: var(--a4-dark);}</v>
      </c>
      <c r="J52" s="48" t="str">
        <f t="shared" ref="J52" si="62">LOWER(_xlfn.CONCAT("  .bg-",B47,"-",B52,"{","background-color: var(--",B47,"-",B52,");","}"))</f>
        <v xml:space="preserve">  .bg-a4-dark{background-color: var(--a4-dark);}</v>
      </c>
    </row>
    <row r="53" spans="2:10" x14ac:dyDescent="0.45">
      <c r="B53" s="27" t="s">
        <v>30</v>
      </c>
      <c r="C53" s="48">
        <f>ROUND(C51*(1+F53),0)</f>
        <v>41</v>
      </c>
      <c r="D53" s="48">
        <f>ROUND(D51*(1+F53),0)</f>
        <v>75</v>
      </c>
      <c r="E53" s="48">
        <f>ROUND(E51*(1+F53),0)</f>
        <v>85</v>
      </c>
      <c r="F53" s="47">
        <v>-0.5</v>
      </c>
      <c r="H53" s="48" t="str">
        <f t="shared" ref="H53" si="63">LOWER(_xlfn.CONCAT("    --",B47,"-",B53,": rgba(",C53,", ",D53,", ",E53,", ","1.00",");"))</f>
        <v xml:space="preserve">    --a4-darker: rgba(41, 75, 85, 1.00);</v>
      </c>
      <c r="I53" s="48" t="str">
        <f t="shared" ref="I53" si="64">LOWER(_xlfn.CONCAT("  .color-",B47,"-",B53,"{","color: var(--",B47,"-",B53,");","}"))</f>
        <v xml:space="preserve">  .color-a4-darker{color: var(--a4-darker);}</v>
      </c>
      <c r="J53" s="48" t="str">
        <f t="shared" ref="J53" si="65">LOWER(_xlfn.CONCAT("  .bg-",B47,"-",B53,"{","background-color: var(--",B47,"-",B53,");","}"))</f>
        <v xml:space="preserve">  .bg-a4-darker{background-color: var(--a4-darker);}</v>
      </c>
    </row>
    <row r="54" spans="2:10" x14ac:dyDescent="0.45">
      <c r="B54" s="27" t="s">
        <v>31</v>
      </c>
      <c r="C54" s="48">
        <f>ROUND(C51*(1+F54),0)</f>
        <v>21</v>
      </c>
      <c r="D54" s="48">
        <f>ROUND(D51*(1+F54),0)</f>
        <v>37</v>
      </c>
      <c r="E54" s="48">
        <f>ROUND(E51*(1+F54),0)</f>
        <v>42</v>
      </c>
      <c r="F54" s="47">
        <v>-0.75</v>
      </c>
      <c r="H54" s="48" t="str">
        <f t="shared" ref="H54" si="66">LOWER(_xlfn.CONCAT("    --",B47,"-",B54,": rgba(",C54,", ",D54,", ",E54,", ","1.00",");"))</f>
        <v xml:space="preserve">    --a4-darkest: rgba(21, 37, 42, 1.00);</v>
      </c>
      <c r="I54" s="48" t="str">
        <f t="shared" ref="I54" si="67">LOWER(_xlfn.CONCAT("  .color-",B47,"-",B54,"{","color: var(--",B47,"-",B54,");","}"))</f>
        <v xml:space="preserve">  .color-a4-darkest{color: var(--a4-darkest);}</v>
      </c>
      <c r="J54" s="48" t="str">
        <f t="shared" ref="J54" si="68">LOWER(_xlfn.CONCAT("  .bg-",B47,"-",B54,"{","background-color: var(--",B47,"-",B54,");","}"))</f>
        <v xml:space="preserve">  .bg-a4-darkest{background-color: var(--a4-darkest);}</v>
      </c>
    </row>
    <row r="55" spans="2:10" x14ac:dyDescent="0.45">
      <c r="B55" s="46" t="s">
        <v>42</v>
      </c>
      <c r="C55" s="49" t="s">
        <v>33</v>
      </c>
      <c r="D55" s="49" t="s">
        <v>34</v>
      </c>
      <c r="E55" s="49" t="s">
        <v>35</v>
      </c>
      <c r="F55" s="49" t="s">
        <v>36</v>
      </c>
      <c r="H55" s="49"/>
      <c r="I55" s="49"/>
      <c r="J55" s="49"/>
    </row>
    <row r="56" spans="2:10" x14ac:dyDescent="0.45">
      <c r="B56" s="27" t="s">
        <v>25</v>
      </c>
      <c r="C56" s="48">
        <f>ROUND(255-((255-C59)*F56),0)</f>
        <v>216</v>
      </c>
      <c r="D56" s="48">
        <f>ROUND(255-((255-D59)*F56),0)</f>
        <v>230</v>
      </c>
      <c r="E56" s="48">
        <f>ROUND(255-((255-E59)*F56),0)</f>
        <v>228</v>
      </c>
      <c r="F56" s="47">
        <v>0.25</v>
      </c>
      <c r="H56" s="48" t="str">
        <f t="shared" ref="H56" si="69">LOWER(_xlfn.CONCAT("    --",B55,"-",B56,": rgba(",C56,", ",D56,", ",E56,", ","1.00",");"))</f>
        <v xml:space="preserve">    --a5-lightest: rgba(216, 230, 228, 1.00);</v>
      </c>
      <c r="I56" s="48" t="str">
        <f t="shared" ref="I56" si="70">LOWER(_xlfn.CONCAT("  .color-",B55,"-",B56,"{","color: var(--",B55,"-",B56,");","}"))</f>
        <v xml:space="preserve">  .color-a5-lightest{color: var(--a5-lightest);}</v>
      </c>
      <c r="J56" s="48" t="str">
        <f t="shared" ref="J56" si="71">LOWER(_xlfn.CONCAT("  .bg-",B55,"-",B56,"{","background-color: var(--",B55,"-",B56,");","}"))</f>
        <v xml:space="preserve">  .bg-a5-lightest{background-color: var(--a5-lightest);}</v>
      </c>
    </row>
    <row r="57" spans="2:10" x14ac:dyDescent="0.45">
      <c r="B57" s="27" t="s">
        <v>26</v>
      </c>
      <c r="C57" s="48">
        <f>ROUND(255-((255-C59)*F57),0)</f>
        <v>178</v>
      </c>
      <c r="D57" s="48">
        <f>ROUND(255-((255-D59)*F57),0)</f>
        <v>204</v>
      </c>
      <c r="E57" s="48">
        <f>ROUND(255-((255-E59)*F57),0)</f>
        <v>201</v>
      </c>
      <c r="F57" s="47">
        <v>0.5</v>
      </c>
      <c r="H57" s="48" t="str">
        <f t="shared" ref="H57" si="72">LOWER(_xlfn.CONCAT("    --",B55,"-",B57,": rgba(",C57,", ",D57,", ",E57,", ","1.00",");"))</f>
        <v xml:space="preserve">    --a5-lighter: rgba(178, 204, 201, 1.00);</v>
      </c>
      <c r="I57" s="48" t="str">
        <f t="shared" ref="I57" si="73">LOWER(_xlfn.CONCAT("  .color-",B55,"-",B57,"{","color: var(--",B55,"-",B57,");","}"))</f>
        <v xml:space="preserve">  .color-a5-lighter{color: var(--a5-lighter);}</v>
      </c>
      <c r="J57" s="48" t="str">
        <f t="shared" ref="J57" si="74">LOWER(_xlfn.CONCAT("  .bg-",B55,"-",B57,"{","background-color: var(--",B55,"-",B57,");","}"))</f>
        <v xml:space="preserve">  .bg-a5-lighter{background-color: var(--a5-lighter);}</v>
      </c>
    </row>
    <row r="58" spans="2:10" x14ac:dyDescent="0.45">
      <c r="B58" s="27" t="s">
        <v>27</v>
      </c>
      <c r="C58" s="48">
        <f>ROUND(255-((255-C59)*F58),0)</f>
        <v>139</v>
      </c>
      <c r="D58" s="48">
        <f>ROUND(255-((255-D59)*F58),0)</f>
        <v>179</v>
      </c>
      <c r="E58" s="48">
        <f>ROUND(255-((255-E59)*F58),0)</f>
        <v>174</v>
      </c>
      <c r="F58" s="47">
        <v>0.75</v>
      </c>
      <c r="H58" s="48" t="str">
        <f t="shared" ref="H58" si="75">LOWER(_xlfn.CONCAT("    --",B55,"-",B58,": rgba(",C58,", ",D58,", ",E58,", ","1.00",");"))</f>
        <v xml:space="preserve">    --a5-light: rgba(139, 179, 174, 1.00);</v>
      </c>
      <c r="I58" s="48" t="str">
        <f t="shared" ref="I58" si="76">LOWER(_xlfn.CONCAT("  .color-",B55,"-",B58,"{","color: var(--",B55,"-",B58,");","}"))</f>
        <v xml:space="preserve">  .color-a5-light{color: var(--a5-light);}</v>
      </c>
      <c r="J58" s="48" t="str">
        <f t="shared" ref="J58" si="77">LOWER(_xlfn.CONCAT("  .bg-",B55,"-",B58,"{","background-color: var(--",B55,"-",B58,");","}"))</f>
        <v xml:space="preserve">  .bg-a5-light{background-color: var(--a5-light);}</v>
      </c>
    </row>
    <row r="59" spans="2:10" x14ac:dyDescent="0.45">
      <c r="B59" s="27" t="s">
        <v>28</v>
      </c>
      <c r="C59" s="50">
        <f>VLOOKUP(B55,$B$3:$E$21,2,FALSE)</f>
        <v>100</v>
      </c>
      <c r="D59" s="50">
        <f>VLOOKUP(B55,$B$3:$E$21,3,FALSE)</f>
        <v>153</v>
      </c>
      <c r="E59" s="50">
        <f>VLOOKUP(B55,$B$3:$E$21,4,FALSE)</f>
        <v>147</v>
      </c>
      <c r="F59" s="47">
        <v>0</v>
      </c>
      <c r="H59" s="48" t="str">
        <f t="shared" ref="H59" si="78">LOWER(_xlfn.CONCAT("    --",B55,"-",B59,": rgba(",C59,", ",D59,", ",E59,", ","1.00",");"))</f>
        <v xml:space="preserve">    --a5-normal: rgba(100, 153, 147, 1.00);</v>
      </c>
      <c r="I59" s="48" t="str">
        <f t="shared" ref="I59" si="79">LOWER(_xlfn.CONCAT("  .color-",B55,"-",B59,"{","color: var(--",B55,"-",B59,");","}"))</f>
        <v xml:space="preserve">  .color-a5-normal{color: var(--a5-normal);}</v>
      </c>
      <c r="J59" s="48" t="str">
        <f t="shared" ref="J59" si="80">LOWER(_xlfn.CONCAT("  .bg-",B55,"-",B59,"{","background-color: var(--",B55,"-",B59,");","}"))</f>
        <v xml:space="preserve">  .bg-a5-normal{background-color: var(--a5-normal);}</v>
      </c>
    </row>
    <row r="60" spans="2:10" x14ac:dyDescent="0.45">
      <c r="B60" s="27" t="s">
        <v>29</v>
      </c>
      <c r="C60" s="48">
        <f>ROUND(C59*(1+F60),0)</f>
        <v>75</v>
      </c>
      <c r="D60" s="48">
        <f>ROUND(D59*(1+F60),0)</f>
        <v>115</v>
      </c>
      <c r="E60" s="48">
        <f>ROUND(E59*(1+F60),0)</f>
        <v>110</v>
      </c>
      <c r="F60" s="47">
        <v>-0.25</v>
      </c>
      <c r="H60" s="48" t="str">
        <f t="shared" ref="H60" si="81">LOWER(_xlfn.CONCAT("    --",B55,"-",B60,": rgba(",C60,", ",D60,", ",E60,", ","1.00",");"))</f>
        <v xml:space="preserve">    --a5-dark: rgba(75, 115, 110, 1.00);</v>
      </c>
      <c r="I60" s="48" t="str">
        <f t="shared" ref="I60" si="82">LOWER(_xlfn.CONCAT("  .color-",B55,"-",B60,"{","color: var(--",B55,"-",B60,");","}"))</f>
        <v xml:space="preserve">  .color-a5-dark{color: var(--a5-dark);}</v>
      </c>
      <c r="J60" s="48" t="str">
        <f t="shared" ref="J60" si="83">LOWER(_xlfn.CONCAT("  .bg-",B55,"-",B60,"{","background-color: var(--",B55,"-",B60,");","}"))</f>
        <v xml:space="preserve">  .bg-a5-dark{background-color: var(--a5-dark);}</v>
      </c>
    </row>
    <row r="61" spans="2:10" x14ac:dyDescent="0.45">
      <c r="B61" s="27" t="s">
        <v>30</v>
      </c>
      <c r="C61" s="48">
        <f>ROUND(C59*(1+F61),0)</f>
        <v>50</v>
      </c>
      <c r="D61" s="48">
        <f>ROUND(D59*(1+F61),0)</f>
        <v>77</v>
      </c>
      <c r="E61" s="48">
        <f>ROUND(E59*(1+F61),0)</f>
        <v>74</v>
      </c>
      <c r="F61" s="47">
        <v>-0.5</v>
      </c>
      <c r="H61" s="48" t="str">
        <f t="shared" ref="H61" si="84">LOWER(_xlfn.CONCAT("    --",B55,"-",B61,": rgba(",C61,", ",D61,", ",E61,", ","1.00",");"))</f>
        <v xml:space="preserve">    --a5-darker: rgba(50, 77, 74, 1.00);</v>
      </c>
      <c r="I61" s="48" t="str">
        <f t="shared" ref="I61" si="85">LOWER(_xlfn.CONCAT("  .color-",B55,"-",B61,"{","color: var(--",B55,"-",B61,");","}"))</f>
        <v xml:space="preserve">  .color-a5-darker{color: var(--a5-darker);}</v>
      </c>
      <c r="J61" s="48" t="str">
        <f t="shared" ref="J61" si="86">LOWER(_xlfn.CONCAT("  .bg-",B55,"-",B61,"{","background-color: var(--",B55,"-",B61,");","}"))</f>
        <v xml:space="preserve">  .bg-a5-darker{background-color: var(--a5-darker);}</v>
      </c>
    </row>
    <row r="62" spans="2:10" x14ac:dyDescent="0.45">
      <c r="B62" s="27" t="s">
        <v>31</v>
      </c>
      <c r="C62" s="48">
        <f>ROUND(C59*(1+F62),0)</f>
        <v>25</v>
      </c>
      <c r="D62" s="48">
        <f>ROUND(D59*(1+F62),0)</f>
        <v>38</v>
      </c>
      <c r="E62" s="48">
        <f>ROUND(E59*(1+F62),0)</f>
        <v>37</v>
      </c>
      <c r="F62" s="47">
        <v>-0.75</v>
      </c>
      <c r="H62" s="48" t="str">
        <f t="shared" ref="H62" si="87">LOWER(_xlfn.CONCAT("    --",B55,"-",B62,": rgba(",C62,", ",D62,", ",E62,", ","1.00",");"))</f>
        <v xml:space="preserve">    --a5-darkest: rgba(25, 38, 37, 1.00);</v>
      </c>
      <c r="I62" s="48" t="str">
        <f t="shared" ref="I62" si="88">LOWER(_xlfn.CONCAT("  .color-",B55,"-",B62,"{","color: var(--",B55,"-",B62,");","}"))</f>
        <v xml:space="preserve">  .color-a5-darkest{color: var(--a5-darkest);}</v>
      </c>
      <c r="J62" s="48" t="str">
        <f t="shared" ref="J62" si="89">LOWER(_xlfn.CONCAT("  .bg-",B55,"-",B62,"{","background-color: var(--",B55,"-",B62,");","}"))</f>
        <v xml:space="preserve">  .bg-a5-darkest{background-color: var(--a5-darkest);}</v>
      </c>
    </row>
    <row r="63" spans="2:10" x14ac:dyDescent="0.45">
      <c r="B63" s="46" t="s">
        <v>43</v>
      </c>
      <c r="C63" s="49" t="s">
        <v>33</v>
      </c>
      <c r="D63" s="49" t="s">
        <v>34</v>
      </c>
      <c r="E63" s="49" t="s">
        <v>35</v>
      </c>
      <c r="F63" s="49" t="s">
        <v>36</v>
      </c>
      <c r="H63" s="49"/>
      <c r="I63" s="49"/>
      <c r="J63" s="49"/>
    </row>
    <row r="64" spans="2:10" x14ac:dyDescent="0.45">
      <c r="B64" s="27" t="s">
        <v>25</v>
      </c>
      <c r="C64" s="48">
        <f>ROUND(255-((255-C67)*F64),0)</f>
        <v>238</v>
      </c>
      <c r="D64" s="48">
        <f>ROUND(255-((255-D67)*F64),0)</f>
        <v>220</v>
      </c>
      <c r="E64" s="48">
        <f>ROUND(255-((255-E67)*F64),0)</f>
        <v>216</v>
      </c>
      <c r="F64" s="47">
        <v>0.25</v>
      </c>
      <c r="H64" s="48" t="str">
        <f t="shared" ref="H64" si="90">LOWER(_xlfn.CONCAT("    --",B63,"-",B64,": rgba(",C64,", ",D64,", ",E64,", ","1.00",");"))</f>
        <v xml:space="preserve">    --a6-lightest: rgba(238, 220, 216, 1.00);</v>
      </c>
      <c r="I64" s="48" t="str">
        <f t="shared" ref="I64" si="91">LOWER(_xlfn.CONCAT("  .color-",B63,"-",B64,"{","color: var(--",B63,"-",B64,");","}"))</f>
        <v xml:space="preserve">  .color-a6-lightest{color: var(--a6-lightest);}</v>
      </c>
      <c r="J64" s="48" t="str">
        <f t="shared" ref="J64" si="92">LOWER(_xlfn.CONCAT("  .bg-",B63,"-",B64,"{","background-color: var(--",B63,"-",B64,");","}"))</f>
        <v xml:space="preserve">  .bg-a6-lightest{background-color: var(--a6-lightest);}</v>
      </c>
    </row>
    <row r="65" spans="2:10" x14ac:dyDescent="0.45">
      <c r="B65" s="27" t="s">
        <v>26</v>
      </c>
      <c r="C65" s="48">
        <f>ROUND(255-((255-C67)*F65),0)</f>
        <v>221</v>
      </c>
      <c r="D65" s="48">
        <f>ROUND(255-((255-D67)*F65),0)</f>
        <v>185</v>
      </c>
      <c r="E65" s="48">
        <f>ROUND(255-((255-E67)*F65),0)</f>
        <v>178</v>
      </c>
      <c r="F65" s="47">
        <v>0.5</v>
      </c>
      <c r="H65" s="48" t="str">
        <f t="shared" ref="H65" si="93">LOWER(_xlfn.CONCAT("    --",B63,"-",B65,": rgba(",C65,", ",D65,", ",E65,", ","1.00",");"))</f>
        <v xml:space="preserve">    --a6-lighter: rgba(221, 185, 178, 1.00);</v>
      </c>
      <c r="I65" s="48" t="str">
        <f t="shared" ref="I65" si="94">LOWER(_xlfn.CONCAT("  .color-",B63,"-",B65,"{","color: var(--",B63,"-",B65,");","}"))</f>
        <v xml:space="preserve">  .color-a6-lighter{color: var(--a6-lighter);}</v>
      </c>
      <c r="J65" s="48" t="str">
        <f t="shared" ref="J65" si="95">LOWER(_xlfn.CONCAT("  .bg-",B63,"-",B65,"{","background-color: var(--",B63,"-",B65,");","}"))</f>
        <v xml:space="preserve">  .bg-a6-lighter{background-color: var(--a6-lighter);}</v>
      </c>
    </row>
    <row r="66" spans="2:10" x14ac:dyDescent="0.45">
      <c r="B66" s="27" t="s">
        <v>27</v>
      </c>
      <c r="C66" s="48">
        <f>ROUND(255-((255-C67)*F66),0)</f>
        <v>203</v>
      </c>
      <c r="D66" s="48">
        <f>ROUND(255-((255-D67)*F66),0)</f>
        <v>149</v>
      </c>
      <c r="E66" s="48">
        <f>ROUND(255-((255-E67)*F66),0)</f>
        <v>139</v>
      </c>
      <c r="F66" s="47">
        <v>0.75</v>
      </c>
      <c r="H66" s="48" t="str">
        <f t="shared" ref="H66" si="96">LOWER(_xlfn.CONCAT("    --",B63,"-",B66,": rgba(",C66,", ",D66,", ",E66,", ","1.00",");"))</f>
        <v xml:space="preserve">    --a6-light: rgba(203, 149, 139, 1.00);</v>
      </c>
      <c r="I66" s="48" t="str">
        <f t="shared" ref="I66" si="97">LOWER(_xlfn.CONCAT("  .color-",B63,"-",B66,"{","color: var(--",B63,"-",B66,");","}"))</f>
        <v xml:space="preserve">  .color-a6-light{color: var(--a6-light);}</v>
      </c>
      <c r="J66" s="48" t="str">
        <f t="shared" ref="J66" si="98">LOWER(_xlfn.CONCAT("  .bg-",B63,"-",B66,"{","background-color: var(--",B63,"-",B66,");","}"))</f>
        <v xml:space="preserve">  .bg-a6-light{background-color: var(--a6-light);}</v>
      </c>
    </row>
    <row r="67" spans="2:10" x14ac:dyDescent="0.45">
      <c r="B67" s="27" t="s">
        <v>28</v>
      </c>
      <c r="C67" s="50">
        <f>VLOOKUP(B63,$B$3:$E$21,2,FALSE)</f>
        <v>186</v>
      </c>
      <c r="D67" s="50">
        <f>VLOOKUP(B63,$B$3:$E$21,3,FALSE)</f>
        <v>114</v>
      </c>
      <c r="E67" s="50">
        <f>VLOOKUP(B63,$B$3:$E$21,4,FALSE)</f>
        <v>100</v>
      </c>
      <c r="F67" s="47">
        <v>0</v>
      </c>
      <c r="H67" s="48" t="str">
        <f t="shared" ref="H67" si="99">LOWER(_xlfn.CONCAT("    --",B63,"-",B67,": rgba(",C67,", ",D67,", ",E67,", ","1.00",");"))</f>
        <v xml:space="preserve">    --a6-normal: rgba(186, 114, 100, 1.00);</v>
      </c>
      <c r="I67" s="48" t="str">
        <f t="shared" ref="I67" si="100">LOWER(_xlfn.CONCAT("  .color-",B63,"-",B67,"{","color: var(--",B63,"-",B67,");","}"))</f>
        <v xml:space="preserve">  .color-a6-normal{color: var(--a6-normal);}</v>
      </c>
      <c r="J67" s="48" t="str">
        <f t="shared" ref="J67" si="101">LOWER(_xlfn.CONCAT("  .bg-",B63,"-",B67,"{","background-color: var(--",B63,"-",B67,");","}"))</f>
        <v xml:space="preserve">  .bg-a6-normal{background-color: var(--a6-normal);}</v>
      </c>
    </row>
    <row r="68" spans="2:10" x14ac:dyDescent="0.45">
      <c r="B68" s="27" t="s">
        <v>29</v>
      </c>
      <c r="C68" s="48">
        <f>ROUND(C67*(1+F68),0)</f>
        <v>140</v>
      </c>
      <c r="D68" s="48">
        <f>ROUND(D67*(1+F68),0)</f>
        <v>86</v>
      </c>
      <c r="E68" s="48">
        <f>ROUND(E67*(1+F68),0)</f>
        <v>75</v>
      </c>
      <c r="F68" s="47">
        <v>-0.25</v>
      </c>
      <c r="H68" s="48" t="str">
        <f t="shared" ref="H68" si="102">LOWER(_xlfn.CONCAT("    --",B63,"-",B68,": rgba(",C68,", ",D68,", ",E68,", ","1.00",");"))</f>
        <v xml:space="preserve">    --a6-dark: rgba(140, 86, 75, 1.00);</v>
      </c>
      <c r="I68" s="48" t="str">
        <f t="shared" ref="I68" si="103">LOWER(_xlfn.CONCAT("  .color-",B63,"-",B68,"{","color: var(--",B63,"-",B68,");","}"))</f>
        <v xml:space="preserve">  .color-a6-dark{color: var(--a6-dark);}</v>
      </c>
      <c r="J68" s="48" t="str">
        <f t="shared" ref="J68" si="104">LOWER(_xlfn.CONCAT("  .bg-",B63,"-",B68,"{","background-color: var(--",B63,"-",B68,");","}"))</f>
        <v xml:space="preserve">  .bg-a6-dark{background-color: var(--a6-dark);}</v>
      </c>
    </row>
    <row r="69" spans="2:10" x14ac:dyDescent="0.45">
      <c r="B69" s="27" t="s">
        <v>30</v>
      </c>
      <c r="C69" s="48">
        <f>ROUND(C67*(1+F69),0)</f>
        <v>93</v>
      </c>
      <c r="D69" s="48">
        <f>ROUND(D67*(1+F69),0)</f>
        <v>57</v>
      </c>
      <c r="E69" s="48">
        <f>ROUND(E67*(1+F69),0)</f>
        <v>50</v>
      </c>
      <c r="F69" s="47">
        <v>-0.5</v>
      </c>
      <c r="H69" s="48" t="str">
        <f t="shared" ref="H69" si="105">LOWER(_xlfn.CONCAT("    --",B63,"-",B69,": rgba(",C69,", ",D69,", ",E69,", ","1.00",");"))</f>
        <v xml:space="preserve">    --a6-darker: rgba(93, 57, 50, 1.00);</v>
      </c>
      <c r="I69" s="48" t="str">
        <f t="shared" ref="I69" si="106">LOWER(_xlfn.CONCAT("  .color-",B63,"-",B69,"{","color: var(--",B63,"-",B69,");","}"))</f>
        <v xml:space="preserve">  .color-a6-darker{color: var(--a6-darker);}</v>
      </c>
      <c r="J69" s="48" t="str">
        <f t="shared" ref="J69" si="107">LOWER(_xlfn.CONCAT("  .bg-",B63,"-",B69,"{","background-color: var(--",B63,"-",B69,");","}"))</f>
        <v xml:space="preserve">  .bg-a6-darker{background-color: var(--a6-darker);}</v>
      </c>
    </row>
    <row r="70" spans="2:10" x14ac:dyDescent="0.45">
      <c r="B70" s="27" t="s">
        <v>31</v>
      </c>
      <c r="C70" s="48">
        <f>ROUND(C67*(1+F70),0)</f>
        <v>47</v>
      </c>
      <c r="D70" s="48">
        <f>ROUND(D67*(1+F70),0)</f>
        <v>29</v>
      </c>
      <c r="E70" s="48">
        <f>ROUND(E67*(1+F70),0)</f>
        <v>25</v>
      </c>
      <c r="F70" s="47">
        <v>-0.75</v>
      </c>
      <c r="H70" s="48" t="str">
        <f t="shared" ref="H70" si="108">LOWER(_xlfn.CONCAT("    --",B63,"-",B70,": rgba(",C70,", ",D70,", ",E70,", ","1.00",");"))</f>
        <v xml:space="preserve">    --a6-darkest: rgba(47, 29, 25, 1.00);</v>
      </c>
      <c r="I70" s="48" t="str">
        <f t="shared" ref="I70" si="109">LOWER(_xlfn.CONCAT("  .color-",B63,"-",B70,"{","color: var(--",B63,"-",B70,");","}"))</f>
        <v xml:space="preserve">  .color-a6-darkest{color: var(--a6-darkest);}</v>
      </c>
      <c r="J70" s="48" t="str">
        <f t="shared" ref="J70" si="110">LOWER(_xlfn.CONCAT("  .bg-",B63,"-",B70,"{","background-color: var(--",B63,"-",B70,");","}"))</f>
        <v xml:space="preserve">  .bg-a6-darkest{background-color: var(--a6-darkest);}</v>
      </c>
    </row>
    <row r="71" spans="2:10" x14ac:dyDescent="0.45">
      <c r="B71" s="46" t="s">
        <v>44</v>
      </c>
      <c r="C71" s="49" t="s">
        <v>33</v>
      </c>
      <c r="D71" s="49" t="s">
        <v>34</v>
      </c>
      <c r="E71" s="49" t="s">
        <v>35</v>
      </c>
      <c r="F71" s="49" t="s">
        <v>36</v>
      </c>
      <c r="H71" s="49"/>
      <c r="I71" s="49"/>
      <c r="J71" s="49"/>
    </row>
    <row r="72" spans="2:10" x14ac:dyDescent="0.45">
      <c r="B72" s="27" t="s">
        <v>25</v>
      </c>
      <c r="C72" s="48">
        <f>ROUND(255-((255-C75)*F72),0)</f>
        <v>235</v>
      </c>
      <c r="D72" s="48">
        <f>ROUND(255-((255-D75)*F72),0)</f>
        <v>228</v>
      </c>
      <c r="E72" s="48">
        <f>ROUND(255-((255-E75)*F72),0)</f>
        <v>211</v>
      </c>
      <c r="F72" s="47">
        <v>0.25</v>
      </c>
      <c r="H72" s="48" t="str">
        <f t="shared" ref="H72" si="111">LOWER(_xlfn.CONCAT("    --",B71,"-",B72,": rgba(",C72,", ",D72,", ",E72,", ","1.00",");"))</f>
        <v xml:space="preserve">    --a7-lightest: rgba(235, 228, 211, 1.00);</v>
      </c>
      <c r="I72" s="48" t="str">
        <f t="shared" ref="I72" si="112">LOWER(_xlfn.CONCAT("  .color-",B71,"-",B72,"{","color: var(--",B71,"-",B72,");","}"))</f>
        <v xml:space="preserve">  .color-a7-lightest{color: var(--a7-lightest);}</v>
      </c>
      <c r="J72" s="48" t="str">
        <f t="shared" ref="J72" si="113">LOWER(_xlfn.CONCAT("  .bg-",B71,"-",B72,"{","background-color: var(--",B71,"-",B72,");","}"))</f>
        <v xml:space="preserve">  .bg-a7-lightest{background-color: var(--a7-lightest);}</v>
      </c>
    </row>
    <row r="73" spans="2:10" x14ac:dyDescent="0.45">
      <c r="B73" s="27" t="s">
        <v>26</v>
      </c>
      <c r="C73" s="48">
        <f>ROUND(255-((255-C75)*F73),0)</f>
        <v>214</v>
      </c>
      <c r="D73" s="48">
        <f>ROUND(255-((255-D75)*F73),0)</f>
        <v>201</v>
      </c>
      <c r="E73" s="48">
        <f>ROUND(255-((255-E75)*F73),0)</f>
        <v>168</v>
      </c>
      <c r="F73" s="47">
        <v>0.5</v>
      </c>
      <c r="H73" s="48" t="str">
        <f t="shared" ref="H73" si="114">LOWER(_xlfn.CONCAT("    --",B71,"-",B73,": rgba(",C73,", ",D73,", ",E73,", ","1.00",");"))</f>
        <v xml:space="preserve">    --a7-lighter: rgba(214, 201, 168, 1.00);</v>
      </c>
      <c r="I73" s="48" t="str">
        <f t="shared" ref="I73" si="115">LOWER(_xlfn.CONCAT("  .color-",B71,"-",B73,"{","color: var(--",B71,"-",B73,");","}"))</f>
        <v xml:space="preserve">  .color-a7-lighter{color: var(--a7-lighter);}</v>
      </c>
      <c r="J73" s="48" t="str">
        <f t="shared" ref="J73" si="116">LOWER(_xlfn.CONCAT("  .bg-",B71,"-",B73,"{","background-color: var(--",B71,"-",B73,");","}"))</f>
        <v xml:space="preserve">  .bg-a7-lighter{background-color: var(--a7-lighter);}</v>
      </c>
    </row>
    <row r="74" spans="2:10" x14ac:dyDescent="0.45">
      <c r="B74" s="27" t="s">
        <v>27</v>
      </c>
      <c r="C74" s="48">
        <f>ROUND(255-((255-C75)*F74),0)</f>
        <v>194</v>
      </c>
      <c r="D74" s="48">
        <f>ROUND(255-((255-D75)*F74),0)</f>
        <v>174</v>
      </c>
      <c r="E74" s="48">
        <f>ROUND(255-((255-E75)*F74),0)</f>
        <v>124</v>
      </c>
      <c r="F74" s="47">
        <v>0.75</v>
      </c>
      <c r="H74" s="48" t="str">
        <f t="shared" ref="H74" si="117">LOWER(_xlfn.CONCAT("    --",B71,"-",B74,": rgba(",C74,", ",D74,", ",E74,", ","1.00",");"))</f>
        <v xml:space="preserve">    --a7-light: rgba(194, 174, 124, 1.00);</v>
      </c>
      <c r="I74" s="48" t="str">
        <f t="shared" ref="I74" si="118">LOWER(_xlfn.CONCAT("  .color-",B71,"-",B74,"{","color: var(--",B71,"-",B74,");","}"))</f>
        <v xml:space="preserve">  .color-a7-light{color: var(--a7-light);}</v>
      </c>
      <c r="J74" s="48" t="str">
        <f t="shared" ref="J74" si="119">LOWER(_xlfn.CONCAT("  .bg-",B71,"-",B74,"{","background-color: var(--",B71,"-",B74,");","}"))</f>
        <v xml:space="preserve">  .bg-a7-light{background-color: var(--a7-light);}</v>
      </c>
    </row>
    <row r="75" spans="2:10" x14ac:dyDescent="0.45">
      <c r="B75" s="27" t="s">
        <v>28</v>
      </c>
      <c r="C75" s="50">
        <f>VLOOKUP(B71,$B$3:$E$21,2,FALSE)</f>
        <v>173</v>
      </c>
      <c r="D75" s="50">
        <f>VLOOKUP(B71,$B$3:$E$21,3,FALSE)</f>
        <v>147</v>
      </c>
      <c r="E75" s="50">
        <f>VLOOKUP(B71,$B$3:$E$21,4,FALSE)</f>
        <v>80</v>
      </c>
      <c r="F75" s="47">
        <v>0</v>
      </c>
      <c r="H75" s="48" t="str">
        <f t="shared" ref="H75" si="120">LOWER(_xlfn.CONCAT("    --",B71,"-",B75,": rgba(",C75,", ",D75,", ",E75,", ","1.00",");"))</f>
        <v xml:space="preserve">    --a7-normal: rgba(173, 147, 80, 1.00);</v>
      </c>
      <c r="I75" s="48" t="str">
        <f t="shared" ref="I75" si="121">LOWER(_xlfn.CONCAT("  .color-",B71,"-",B75,"{","color: var(--",B71,"-",B75,");","}"))</f>
        <v xml:space="preserve">  .color-a7-normal{color: var(--a7-normal);}</v>
      </c>
      <c r="J75" s="48" t="str">
        <f t="shared" ref="J75" si="122">LOWER(_xlfn.CONCAT("  .bg-",B71,"-",B75,"{","background-color: var(--",B71,"-",B75,");","}"))</f>
        <v xml:space="preserve">  .bg-a7-normal{background-color: var(--a7-normal);}</v>
      </c>
    </row>
    <row r="76" spans="2:10" x14ac:dyDescent="0.45">
      <c r="B76" s="27" t="s">
        <v>29</v>
      </c>
      <c r="C76" s="48">
        <f>ROUND(C75*(1+F76),0)</f>
        <v>130</v>
      </c>
      <c r="D76" s="48">
        <f>ROUND(D75*(1+F76),0)</f>
        <v>110</v>
      </c>
      <c r="E76" s="48">
        <f>ROUND(E75*(1+F76),0)</f>
        <v>60</v>
      </c>
      <c r="F76" s="47">
        <v>-0.25</v>
      </c>
      <c r="H76" s="48" t="str">
        <f t="shared" ref="H76" si="123">LOWER(_xlfn.CONCAT("    --",B71,"-",B76,": rgba(",C76,", ",D76,", ",E76,", ","1.00",");"))</f>
        <v xml:space="preserve">    --a7-dark: rgba(130, 110, 60, 1.00);</v>
      </c>
      <c r="I76" s="48" t="str">
        <f t="shared" ref="I76" si="124">LOWER(_xlfn.CONCAT("  .color-",B71,"-",B76,"{","color: var(--",B71,"-",B76,");","}"))</f>
        <v xml:space="preserve">  .color-a7-dark{color: var(--a7-dark);}</v>
      </c>
      <c r="J76" s="48" t="str">
        <f t="shared" ref="J76" si="125">LOWER(_xlfn.CONCAT("  .bg-",B71,"-",B76,"{","background-color: var(--",B71,"-",B76,");","}"))</f>
        <v xml:space="preserve">  .bg-a7-dark{background-color: var(--a7-dark);}</v>
      </c>
    </row>
    <row r="77" spans="2:10" x14ac:dyDescent="0.45">
      <c r="B77" s="27" t="s">
        <v>30</v>
      </c>
      <c r="C77" s="48">
        <f>ROUND(C75*(1+F77),0)</f>
        <v>87</v>
      </c>
      <c r="D77" s="48">
        <f>ROUND(D75*(1+F77),0)</f>
        <v>74</v>
      </c>
      <c r="E77" s="48">
        <f>ROUND(E75*(1+F77),0)</f>
        <v>40</v>
      </c>
      <c r="F77" s="47">
        <v>-0.5</v>
      </c>
      <c r="H77" s="48" t="str">
        <f t="shared" ref="H77" si="126">LOWER(_xlfn.CONCAT("    --",B71,"-",B77,": rgba(",C77,", ",D77,", ",E77,", ","1.00",");"))</f>
        <v xml:space="preserve">    --a7-darker: rgba(87, 74, 40, 1.00);</v>
      </c>
      <c r="I77" s="48" t="str">
        <f t="shared" ref="I77" si="127">LOWER(_xlfn.CONCAT("  .color-",B71,"-",B77,"{","color: var(--",B71,"-",B77,");","}"))</f>
        <v xml:space="preserve">  .color-a7-darker{color: var(--a7-darker);}</v>
      </c>
      <c r="J77" s="48" t="str">
        <f t="shared" ref="J77" si="128">LOWER(_xlfn.CONCAT("  .bg-",B71,"-",B77,"{","background-color: var(--",B71,"-",B77,");","}"))</f>
        <v xml:space="preserve">  .bg-a7-darker{background-color: var(--a7-darker);}</v>
      </c>
    </row>
    <row r="78" spans="2:10" x14ac:dyDescent="0.45">
      <c r="B78" s="27" t="s">
        <v>31</v>
      </c>
      <c r="C78" s="48">
        <f>ROUND(C75*(1+F78),0)</f>
        <v>43</v>
      </c>
      <c r="D78" s="48">
        <f>ROUND(D75*(1+F78),0)</f>
        <v>37</v>
      </c>
      <c r="E78" s="48">
        <f>ROUND(E75*(1+F78),0)</f>
        <v>20</v>
      </c>
      <c r="F78" s="47">
        <v>-0.75</v>
      </c>
      <c r="H78" s="48" t="str">
        <f t="shared" ref="H78" si="129">LOWER(_xlfn.CONCAT("    --",B71,"-",B78,": rgba(",C78,", ",D78,", ",E78,", ","1.00",");"))</f>
        <v xml:space="preserve">    --a7-darkest: rgba(43, 37, 20, 1.00);</v>
      </c>
      <c r="I78" s="48" t="str">
        <f t="shared" ref="I78" si="130">LOWER(_xlfn.CONCAT("  .color-",B71,"-",B78,"{","color: var(--",B71,"-",B78,");","}"))</f>
        <v xml:space="preserve">  .color-a7-darkest{color: var(--a7-darkest);}</v>
      </c>
      <c r="J78" s="48" t="str">
        <f t="shared" ref="J78" si="131">LOWER(_xlfn.CONCAT("  .bg-",B71,"-",B78,"{","background-color: var(--",B71,"-",B78,");","}"))</f>
        <v xml:space="preserve">  .bg-a7-darkest{background-color: var(--a7-darkest);}</v>
      </c>
    </row>
    <row r="79" spans="2:10" x14ac:dyDescent="0.45">
      <c r="B79" s="46" t="s">
        <v>45</v>
      </c>
      <c r="C79" s="49" t="s">
        <v>33</v>
      </c>
      <c r="D79" s="49" t="s">
        <v>34</v>
      </c>
      <c r="E79" s="49" t="s">
        <v>35</v>
      </c>
      <c r="F79" s="49" t="s">
        <v>36</v>
      </c>
      <c r="H79" s="49"/>
      <c r="I79" s="49"/>
      <c r="J79" s="49"/>
    </row>
    <row r="80" spans="2:10" x14ac:dyDescent="0.45">
      <c r="B80" s="27" t="s">
        <v>25</v>
      </c>
      <c r="C80" s="48">
        <f>ROUND(255-((255-C83)*F80),0)</f>
        <v>236</v>
      </c>
      <c r="D80" s="48">
        <f>ROUND(255-((255-D83)*F80),0)</f>
        <v>222</v>
      </c>
      <c r="E80" s="48">
        <f>ROUND(255-((255-E83)*F80),0)</f>
        <v>217</v>
      </c>
      <c r="F80" s="47">
        <v>0.25</v>
      </c>
      <c r="H80" s="48" t="str">
        <f t="shared" ref="H80" si="132">LOWER(_xlfn.CONCAT("    --",B79,"-",B80,": rgba(",C80,", ",D80,", ",E80,", ","1.00",");"))</f>
        <v xml:space="preserve">    --a8-lightest: rgba(236, 222, 217, 1.00);</v>
      </c>
      <c r="I80" s="48" t="str">
        <f t="shared" ref="I80" si="133">LOWER(_xlfn.CONCAT("  .color-",B79,"-",B80,"{","color: var(--",B79,"-",B80,");","}"))</f>
        <v xml:space="preserve">  .color-a8-lightest{color: var(--a8-lightest);}</v>
      </c>
      <c r="J80" s="48" t="str">
        <f t="shared" ref="J80" si="134">LOWER(_xlfn.CONCAT("  .bg-",B79,"-",B80,"{","background-color: var(--",B79,"-",B80,");","}"))</f>
        <v xml:space="preserve">  .bg-a8-lightest{background-color: var(--a8-lightest);}</v>
      </c>
    </row>
    <row r="81" spans="2:10" x14ac:dyDescent="0.45">
      <c r="B81" s="27" t="s">
        <v>26</v>
      </c>
      <c r="C81" s="48">
        <f>ROUND(255-((255-C83)*F81),0)</f>
        <v>217</v>
      </c>
      <c r="D81" s="48">
        <f>ROUND(255-((255-D83)*F81),0)</f>
        <v>188</v>
      </c>
      <c r="E81" s="48">
        <f>ROUND(255-((255-E83)*F81),0)</f>
        <v>178</v>
      </c>
      <c r="F81" s="47">
        <v>0.5</v>
      </c>
      <c r="H81" s="48" t="str">
        <f t="shared" ref="H81" si="135">LOWER(_xlfn.CONCAT("    --",B79,"-",B81,": rgba(",C81,", ",D81,", ",E81,", ","1.00",");"))</f>
        <v xml:space="preserve">    --a8-lighter: rgba(217, 188, 178, 1.00);</v>
      </c>
      <c r="I81" s="48" t="str">
        <f t="shared" ref="I81" si="136">LOWER(_xlfn.CONCAT("  .color-",B79,"-",B81,"{","color: var(--",B79,"-",B81,");","}"))</f>
        <v xml:space="preserve">  .color-a8-lighter{color: var(--a8-lighter);}</v>
      </c>
      <c r="J81" s="48" t="str">
        <f t="shared" ref="J81" si="137">LOWER(_xlfn.CONCAT("  .bg-",B79,"-",B81,"{","background-color: var(--",B79,"-",B81,");","}"))</f>
        <v xml:space="preserve">  .bg-a8-lighter{background-color: var(--a8-lighter);}</v>
      </c>
    </row>
    <row r="82" spans="2:10" x14ac:dyDescent="0.45">
      <c r="B82" s="27" t="s">
        <v>27</v>
      </c>
      <c r="C82" s="48">
        <f>ROUND(255-((255-C83)*F82),0)</f>
        <v>197</v>
      </c>
      <c r="D82" s="48">
        <f>ROUND(255-((255-D83)*F82),0)</f>
        <v>155</v>
      </c>
      <c r="E82" s="48">
        <f>ROUND(255-((255-E83)*F82),0)</f>
        <v>140</v>
      </c>
      <c r="F82" s="47">
        <v>0.75</v>
      </c>
      <c r="H82" s="48" t="str">
        <f t="shared" ref="H82" si="138">LOWER(_xlfn.CONCAT("    --",B79,"-",B82,": rgba(",C82,", ",D82,", ",E82,", ","1.00",");"))</f>
        <v xml:space="preserve">    --a8-light: rgba(197, 155, 140, 1.00);</v>
      </c>
      <c r="I82" s="48" t="str">
        <f t="shared" ref="I82" si="139">LOWER(_xlfn.CONCAT("  .color-",B79,"-",B82,"{","color: var(--",B79,"-",B82,");","}"))</f>
        <v xml:space="preserve">  .color-a8-light{color: var(--a8-light);}</v>
      </c>
      <c r="J82" s="48" t="str">
        <f t="shared" ref="J82" si="140">LOWER(_xlfn.CONCAT("  .bg-",B79,"-",B82,"{","background-color: var(--",B79,"-",B82,");","}"))</f>
        <v xml:space="preserve">  .bg-a8-light{background-color: var(--a8-light);}</v>
      </c>
    </row>
    <row r="83" spans="2:10" x14ac:dyDescent="0.45">
      <c r="B83" s="27" t="s">
        <v>28</v>
      </c>
      <c r="C83" s="50">
        <f>VLOOKUP(B79,$B$3:$E$21,2,FALSE)</f>
        <v>178</v>
      </c>
      <c r="D83" s="50">
        <f>VLOOKUP(B79,$B$3:$E$21,3,FALSE)</f>
        <v>121</v>
      </c>
      <c r="E83" s="50">
        <f>VLOOKUP(B79,$B$3:$E$21,4,FALSE)</f>
        <v>101</v>
      </c>
      <c r="F83" s="47">
        <v>0</v>
      </c>
      <c r="H83" s="48" t="str">
        <f t="shared" ref="H83" si="141">LOWER(_xlfn.CONCAT("    --",B79,"-",B83,": rgba(",C83,", ",D83,", ",E83,", ","1.00",");"))</f>
        <v xml:space="preserve">    --a8-normal: rgba(178, 121, 101, 1.00);</v>
      </c>
      <c r="I83" s="48" t="str">
        <f t="shared" ref="I83" si="142">LOWER(_xlfn.CONCAT("  .color-",B79,"-",B83,"{","color: var(--",B79,"-",B83,");","}"))</f>
        <v xml:space="preserve">  .color-a8-normal{color: var(--a8-normal);}</v>
      </c>
      <c r="J83" s="48" t="str">
        <f t="shared" ref="J83" si="143">LOWER(_xlfn.CONCAT("  .bg-",B79,"-",B83,"{","background-color: var(--",B79,"-",B83,");","}"))</f>
        <v xml:space="preserve">  .bg-a8-normal{background-color: var(--a8-normal);}</v>
      </c>
    </row>
    <row r="84" spans="2:10" x14ac:dyDescent="0.45">
      <c r="B84" s="27" t="s">
        <v>29</v>
      </c>
      <c r="C84" s="48">
        <f>ROUND(C83*(1+F84),0)</f>
        <v>134</v>
      </c>
      <c r="D84" s="48">
        <f>ROUND(D83*(1+F84),0)</f>
        <v>91</v>
      </c>
      <c r="E84" s="48">
        <f>ROUND(E83*(1+F84),0)</f>
        <v>76</v>
      </c>
      <c r="F84" s="47">
        <v>-0.25</v>
      </c>
      <c r="H84" s="48" t="str">
        <f t="shared" ref="H84" si="144">LOWER(_xlfn.CONCAT("    --",B79,"-",B84,": rgba(",C84,", ",D84,", ",E84,", ","1.00",");"))</f>
        <v xml:space="preserve">    --a8-dark: rgba(134, 91, 76, 1.00);</v>
      </c>
      <c r="I84" s="48" t="str">
        <f t="shared" ref="I84" si="145">LOWER(_xlfn.CONCAT("  .color-",B79,"-",B84,"{","color: var(--",B79,"-",B84,");","}"))</f>
        <v xml:space="preserve">  .color-a8-dark{color: var(--a8-dark);}</v>
      </c>
      <c r="J84" s="48" t="str">
        <f t="shared" ref="J84" si="146">LOWER(_xlfn.CONCAT("  .bg-",B79,"-",B84,"{","background-color: var(--",B79,"-",B84,");","}"))</f>
        <v xml:space="preserve">  .bg-a8-dark{background-color: var(--a8-dark);}</v>
      </c>
    </row>
    <row r="85" spans="2:10" x14ac:dyDescent="0.45">
      <c r="B85" s="27" t="s">
        <v>30</v>
      </c>
      <c r="C85" s="48">
        <f>ROUND(C83*(1+F85),0)</f>
        <v>89</v>
      </c>
      <c r="D85" s="48">
        <f>ROUND(D83*(1+F85),0)</f>
        <v>61</v>
      </c>
      <c r="E85" s="48">
        <f>ROUND(E83*(1+F85),0)</f>
        <v>51</v>
      </c>
      <c r="F85" s="47">
        <v>-0.5</v>
      </c>
      <c r="H85" s="48" t="str">
        <f t="shared" ref="H85" si="147">LOWER(_xlfn.CONCAT("    --",B79,"-",B85,": rgba(",C85,", ",D85,", ",E85,", ","1.00",");"))</f>
        <v xml:space="preserve">    --a8-darker: rgba(89, 61, 51, 1.00);</v>
      </c>
      <c r="I85" s="48" t="str">
        <f t="shared" ref="I85" si="148">LOWER(_xlfn.CONCAT("  .color-",B79,"-",B85,"{","color: var(--",B79,"-",B85,");","}"))</f>
        <v xml:space="preserve">  .color-a8-darker{color: var(--a8-darker);}</v>
      </c>
      <c r="J85" s="48" t="str">
        <f t="shared" ref="J85" si="149">LOWER(_xlfn.CONCAT("  .bg-",B79,"-",B85,"{","background-color: var(--",B79,"-",B85,");","}"))</f>
        <v xml:space="preserve">  .bg-a8-darker{background-color: var(--a8-darker);}</v>
      </c>
    </row>
    <row r="86" spans="2:10" x14ac:dyDescent="0.45">
      <c r="B86" s="27" t="s">
        <v>31</v>
      </c>
      <c r="C86" s="48">
        <f>ROUND(C83*(1+F86),0)</f>
        <v>45</v>
      </c>
      <c r="D86" s="48">
        <f>ROUND(D83*(1+F86),0)</f>
        <v>30</v>
      </c>
      <c r="E86" s="48">
        <f>ROUND(E83*(1+F86),0)</f>
        <v>25</v>
      </c>
      <c r="F86" s="47">
        <v>-0.75</v>
      </c>
      <c r="H86" s="48" t="str">
        <f t="shared" ref="H86" si="150">LOWER(_xlfn.CONCAT("    --",B79,"-",B86,": rgba(",C86,", ",D86,", ",E86,", ","1.00",");"))</f>
        <v xml:space="preserve">    --a8-darkest: rgba(45, 30, 25, 1.00);</v>
      </c>
      <c r="I86" s="48" t="str">
        <f t="shared" ref="I86" si="151">LOWER(_xlfn.CONCAT("  .color-",B79,"-",B86,"{","color: var(--",B79,"-",B86,");","}"))</f>
        <v xml:space="preserve">  .color-a8-darkest{color: var(--a8-darkest);}</v>
      </c>
      <c r="J86" s="48" t="str">
        <f t="shared" ref="J86" si="152">LOWER(_xlfn.CONCAT("  .bg-",B79,"-",B86,"{","background-color: var(--",B79,"-",B86,");","}"))</f>
        <v xml:space="preserve">  .bg-a8-darkest{background-color: var(--a8-darkest);}</v>
      </c>
    </row>
    <row r="87" spans="2:10" x14ac:dyDescent="0.45">
      <c r="B87" s="46" t="s">
        <v>46</v>
      </c>
      <c r="C87" s="49" t="s">
        <v>33</v>
      </c>
      <c r="D87" s="49" t="s">
        <v>34</v>
      </c>
      <c r="E87" s="49" t="s">
        <v>35</v>
      </c>
      <c r="F87" s="49" t="s">
        <v>36</v>
      </c>
      <c r="H87" s="49"/>
      <c r="I87" s="49"/>
      <c r="J87" s="49"/>
    </row>
    <row r="88" spans="2:10" x14ac:dyDescent="0.45">
      <c r="B88" s="27" t="s">
        <v>25</v>
      </c>
      <c r="C88" s="48">
        <f>ROUND(255-((255-C91)*F88),0)</f>
        <v>220</v>
      </c>
      <c r="D88" s="48">
        <f>ROUND(255-((255-D91)*F88),0)</f>
        <v>224</v>
      </c>
      <c r="E88" s="48">
        <f>ROUND(255-((255-E91)*F88),0)</f>
        <v>230</v>
      </c>
      <c r="F88" s="47">
        <v>0.25</v>
      </c>
      <c r="H88" s="48" t="str">
        <f t="shared" ref="H88" si="153">LOWER(_xlfn.CONCAT("    --",B87,"-",B88,": rgba(",C88,", ",D88,", ",E88,", ","1.00",");"))</f>
        <v xml:space="preserve">    --a9-lightest: rgba(220, 224, 230, 1.00);</v>
      </c>
      <c r="I88" s="48" t="str">
        <f t="shared" ref="I88" si="154">LOWER(_xlfn.CONCAT("  .color-",B87,"-",B88,"{","color: var(--",B87,"-",B88,");","}"))</f>
        <v xml:space="preserve">  .color-a9-lightest{color: var(--a9-lightest);}</v>
      </c>
      <c r="J88" s="48" t="str">
        <f t="shared" ref="J88" si="155">LOWER(_xlfn.CONCAT("  .bg-",B87,"-",B88,"{","background-color: var(--",B87,"-",B88,");","}"))</f>
        <v xml:space="preserve">  .bg-a9-lightest{background-color: var(--a9-lightest);}</v>
      </c>
    </row>
    <row r="89" spans="2:10" x14ac:dyDescent="0.45">
      <c r="B89" s="27" t="s">
        <v>26</v>
      </c>
      <c r="C89" s="48">
        <f>ROUND(255-((255-C91)*F89),0)</f>
        <v>185</v>
      </c>
      <c r="D89" s="48">
        <f>ROUND(255-((255-D91)*F89),0)</f>
        <v>194</v>
      </c>
      <c r="E89" s="48">
        <f>ROUND(255-((255-E91)*F89),0)</f>
        <v>204</v>
      </c>
      <c r="F89" s="47">
        <v>0.5</v>
      </c>
      <c r="H89" s="48" t="str">
        <f t="shared" ref="H89" si="156">LOWER(_xlfn.CONCAT("    --",B87,"-",B89,": rgba(",C89,", ",D89,", ",E89,", ","1.00",");"))</f>
        <v xml:space="preserve">    --a9-lighter: rgba(185, 194, 204, 1.00);</v>
      </c>
      <c r="I89" s="48" t="str">
        <f t="shared" ref="I89" si="157">LOWER(_xlfn.CONCAT("  .color-",B87,"-",B89,"{","color: var(--",B87,"-",B89,");","}"))</f>
        <v xml:space="preserve">  .color-a9-lighter{color: var(--a9-lighter);}</v>
      </c>
      <c r="J89" s="48" t="str">
        <f t="shared" ref="J89" si="158">LOWER(_xlfn.CONCAT("  .bg-",B87,"-",B89,"{","background-color: var(--",B87,"-",B89,");","}"))</f>
        <v xml:space="preserve">  .bg-a9-lighter{background-color: var(--a9-lighter);}</v>
      </c>
    </row>
    <row r="90" spans="2:10" x14ac:dyDescent="0.45">
      <c r="B90" s="27" t="s">
        <v>27</v>
      </c>
      <c r="C90" s="48">
        <f>ROUND(255-((255-C91)*F90),0)</f>
        <v>150</v>
      </c>
      <c r="D90" s="48">
        <f>ROUND(255-((255-D91)*F90),0)</f>
        <v>163</v>
      </c>
      <c r="E90" s="48">
        <f>ROUND(255-((255-E91)*F90),0)</f>
        <v>179</v>
      </c>
      <c r="F90" s="47">
        <v>0.75</v>
      </c>
      <c r="H90" s="48" t="str">
        <f t="shared" ref="H90" si="159">LOWER(_xlfn.CONCAT("    --",B87,"-",B90,": rgba(",C90,", ",D90,", ",E90,", ","1.00",");"))</f>
        <v xml:space="preserve">    --a9-light: rgba(150, 163, 179, 1.00);</v>
      </c>
      <c r="I90" s="48" t="str">
        <f t="shared" ref="I90" si="160">LOWER(_xlfn.CONCAT("  .color-",B87,"-",B90,"{","color: var(--",B87,"-",B90,");","}"))</f>
        <v xml:space="preserve">  .color-a9-light{color: var(--a9-light);}</v>
      </c>
      <c r="J90" s="48" t="str">
        <f t="shared" ref="J90" si="161">LOWER(_xlfn.CONCAT("  .bg-",B87,"-",B90,"{","background-color: var(--",B87,"-",B90,");","}"))</f>
        <v xml:space="preserve">  .bg-a9-light{background-color: var(--a9-light);}</v>
      </c>
    </row>
    <row r="91" spans="2:10" x14ac:dyDescent="0.45">
      <c r="B91" s="27" t="s">
        <v>28</v>
      </c>
      <c r="C91" s="50">
        <f>VLOOKUP(B87,$B$3:$E$21,2,FALSE)</f>
        <v>115</v>
      </c>
      <c r="D91" s="50">
        <f>VLOOKUP(B87,$B$3:$E$21,3,FALSE)</f>
        <v>132</v>
      </c>
      <c r="E91" s="50">
        <f>VLOOKUP(B87,$B$3:$E$21,4,FALSE)</f>
        <v>153</v>
      </c>
      <c r="F91" s="47">
        <v>0</v>
      </c>
      <c r="H91" s="48" t="str">
        <f t="shared" ref="H91" si="162">LOWER(_xlfn.CONCAT("    --",B87,"-",B91,": rgba(",C91,", ",D91,", ",E91,", ","1.00",");"))</f>
        <v xml:space="preserve">    --a9-normal: rgba(115, 132, 153, 1.00);</v>
      </c>
      <c r="I91" s="48" t="str">
        <f t="shared" ref="I91" si="163">LOWER(_xlfn.CONCAT("  .color-",B87,"-",B91,"{","color: var(--",B87,"-",B91,");","}"))</f>
        <v xml:space="preserve">  .color-a9-normal{color: var(--a9-normal);}</v>
      </c>
      <c r="J91" s="48" t="str">
        <f t="shared" ref="J91" si="164">LOWER(_xlfn.CONCAT("  .bg-",B87,"-",B91,"{","background-color: var(--",B87,"-",B91,");","}"))</f>
        <v xml:space="preserve">  .bg-a9-normal{background-color: var(--a9-normal);}</v>
      </c>
    </row>
    <row r="92" spans="2:10" x14ac:dyDescent="0.45">
      <c r="B92" s="27" t="s">
        <v>29</v>
      </c>
      <c r="C92" s="48">
        <f>ROUND(C91*(1+F92),0)</f>
        <v>86</v>
      </c>
      <c r="D92" s="48">
        <f>ROUND(D91*(1+F92),0)</f>
        <v>99</v>
      </c>
      <c r="E92" s="48">
        <f>ROUND(E91*(1+F92),0)</f>
        <v>115</v>
      </c>
      <c r="F92" s="47">
        <v>-0.25</v>
      </c>
      <c r="H92" s="48" t="str">
        <f t="shared" ref="H92" si="165">LOWER(_xlfn.CONCAT("    --",B87,"-",B92,": rgba(",C92,", ",D92,", ",E92,", ","1.00",");"))</f>
        <v xml:space="preserve">    --a9-dark: rgba(86, 99, 115, 1.00);</v>
      </c>
      <c r="I92" s="48" t="str">
        <f t="shared" ref="I92" si="166">LOWER(_xlfn.CONCAT("  .color-",B87,"-",B92,"{","color: var(--",B87,"-",B92,");","}"))</f>
        <v xml:space="preserve">  .color-a9-dark{color: var(--a9-dark);}</v>
      </c>
      <c r="J92" s="48" t="str">
        <f t="shared" ref="J92" si="167">LOWER(_xlfn.CONCAT("  .bg-",B87,"-",B92,"{","background-color: var(--",B87,"-",B92,");","}"))</f>
        <v xml:space="preserve">  .bg-a9-dark{background-color: var(--a9-dark);}</v>
      </c>
    </row>
    <row r="93" spans="2:10" x14ac:dyDescent="0.45">
      <c r="B93" s="27" t="s">
        <v>30</v>
      </c>
      <c r="C93" s="48">
        <f>ROUND(C91*(1+F93),0)</f>
        <v>58</v>
      </c>
      <c r="D93" s="48">
        <f>ROUND(D91*(1+F93),0)</f>
        <v>66</v>
      </c>
      <c r="E93" s="48">
        <f>ROUND(E91*(1+F93),0)</f>
        <v>77</v>
      </c>
      <c r="F93" s="47">
        <v>-0.5</v>
      </c>
      <c r="H93" s="48" t="str">
        <f t="shared" ref="H93" si="168">LOWER(_xlfn.CONCAT("    --",B87,"-",B93,": rgba(",C93,", ",D93,", ",E93,", ","1.00",");"))</f>
        <v xml:space="preserve">    --a9-darker: rgba(58, 66, 77, 1.00);</v>
      </c>
      <c r="I93" s="48" t="str">
        <f t="shared" ref="I93" si="169">LOWER(_xlfn.CONCAT("  .color-",B87,"-",B93,"{","color: var(--",B87,"-",B93,");","}"))</f>
        <v xml:space="preserve">  .color-a9-darker{color: var(--a9-darker);}</v>
      </c>
      <c r="J93" s="48" t="str">
        <f t="shared" ref="J93" si="170">LOWER(_xlfn.CONCAT("  .bg-",B87,"-",B93,"{","background-color: var(--",B87,"-",B93,");","}"))</f>
        <v xml:space="preserve">  .bg-a9-darker{background-color: var(--a9-darker);}</v>
      </c>
    </row>
    <row r="94" spans="2:10" x14ac:dyDescent="0.45">
      <c r="B94" s="27" t="s">
        <v>31</v>
      </c>
      <c r="C94" s="48">
        <f>ROUND(C91*(1+F94),0)</f>
        <v>29</v>
      </c>
      <c r="D94" s="48">
        <f>ROUND(D91*(1+F94),0)</f>
        <v>33</v>
      </c>
      <c r="E94" s="48">
        <f>ROUND(E91*(1+F94),0)</f>
        <v>38</v>
      </c>
      <c r="F94" s="47">
        <v>-0.75</v>
      </c>
      <c r="H94" s="48" t="str">
        <f t="shared" ref="H94" si="171">LOWER(_xlfn.CONCAT("    --",B87,"-",B94,": rgba(",C94,", ",D94,", ",E94,", ","1.00",");"))</f>
        <v xml:space="preserve">    --a9-darkest: rgba(29, 33, 38, 1.00);</v>
      </c>
      <c r="I94" s="48" t="str">
        <f t="shared" ref="I94" si="172">LOWER(_xlfn.CONCAT("  .color-",B87,"-",B94,"{","color: var(--",B87,"-",B94,");","}"))</f>
        <v xml:space="preserve">  .color-a9-darkest{color: var(--a9-darkest);}</v>
      </c>
      <c r="J94" s="48" t="str">
        <f t="shared" ref="J94" si="173">LOWER(_xlfn.CONCAT("  .bg-",B87,"-",B94,"{","background-color: var(--",B87,"-",B94,");","}"))</f>
        <v xml:space="preserve">  .bg-a9-darkest{background-color: var(--a9-darkest);}</v>
      </c>
    </row>
    <row r="95" spans="2:10" x14ac:dyDescent="0.45">
      <c r="B95" s="46" t="s">
        <v>47</v>
      </c>
      <c r="C95" s="49" t="s">
        <v>33</v>
      </c>
      <c r="D95" s="49" t="s">
        <v>34</v>
      </c>
      <c r="E95" s="49" t="s">
        <v>35</v>
      </c>
      <c r="F95" s="49" t="s">
        <v>36</v>
      </c>
      <c r="H95" s="49"/>
      <c r="I95" s="49"/>
      <c r="J95" s="49"/>
    </row>
    <row r="96" spans="2:10" x14ac:dyDescent="0.45">
      <c r="B96" s="27" t="s">
        <v>25</v>
      </c>
      <c r="C96" s="48">
        <f>ROUND(255-((255-C99)*F96),0)</f>
        <v>248</v>
      </c>
      <c r="D96" s="48">
        <f>ROUND(255-((255-D99)*F96),0)</f>
        <v>205</v>
      </c>
      <c r="E96" s="48">
        <f>ROUND(255-((255-E99)*F96),0)</f>
        <v>221</v>
      </c>
      <c r="F96" s="47">
        <v>0.25</v>
      </c>
      <c r="H96" s="48" t="str">
        <f t="shared" ref="H96" si="174">LOWER(_xlfn.CONCAT("    --",B95,"-",B96,": rgba(",C96,", ",D96,", ",E96,", ","1.00",");"))</f>
        <v xml:space="preserve">    --b1-lightest: rgba(248, 205, 221, 1.00);</v>
      </c>
      <c r="I96" s="48" t="str">
        <f t="shared" ref="I96" si="175">LOWER(_xlfn.CONCAT("  .color-",B95,"-",B96,"{","color: var(--",B95,"-",B96,");","}"))</f>
        <v xml:space="preserve">  .color-b1-lightest{color: var(--b1-lightest);}</v>
      </c>
      <c r="J96" s="48" t="str">
        <f t="shared" ref="J96" si="176">LOWER(_xlfn.CONCAT("  .bg-",B95,"-",B96,"{","background-color: var(--",B95,"-",B96,");","}"))</f>
        <v xml:space="preserve">  .bg-b1-lightest{background-color: var(--b1-lightest);}</v>
      </c>
    </row>
    <row r="97" spans="2:10" x14ac:dyDescent="0.45">
      <c r="B97" s="27" t="s">
        <v>26</v>
      </c>
      <c r="C97" s="48">
        <f>ROUND(255-((255-C99)*F97),0)</f>
        <v>241</v>
      </c>
      <c r="D97" s="48">
        <f>ROUND(255-((255-D99)*F97),0)</f>
        <v>156</v>
      </c>
      <c r="E97" s="48">
        <f>ROUND(255-((255-E99)*F97),0)</f>
        <v>186</v>
      </c>
      <c r="F97" s="47">
        <v>0.5</v>
      </c>
      <c r="H97" s="48" t="str">
        <f t="shared" ref="H97" si="177">LOWER(_xlfn.CONCAT("    --",B95,"-",B97,": rgba(",C97,", ",D97,", ",E97,", ","1.00",");"))</f>
        <v xml:space="preserve">    --b1-lighter: rgba(241, 156, 186, 1.00);</v>
      </c>
      <c r="I97" s="48" t="str">
        <f t="shared" ref="I97" si="178">LOWER(_xlfn.CONCAT("  .color-",B95,"-",B97,"{","color: var(--",B95,"-",B97,");","}"))</f>
        <v xml:space="preserve">  .color-b1-lighter{color: var(--b1-lighter);}</v>
      </c>
      <c r="J97" s="48" t="str">
        <f t="shared" ref="J97" si="179">LOWER(_xlfn.CONCAT("  .bg-",B95,"-",B97,"{","background-color: var(--",B95,"-",B97,");","}"))</f>
        <v xml:space="preserve">  .bg-b1-lighter{background-color: var(--b1-lighter);}</v>
      </c>
    </row>
    <row r="98" spans="2:10" x14ac:dyDescent="0.45">
      <c r="B98" s="27" t="s">
        <v>27</v>
      </c>
      <c r="C98" s="48">
        <f>ROUND(255-((255-C99)*F98),0)</f>
        <v>234</v>
      </c>
      <c r="D98" s="48">
        <f>ROUND(255-((255-D99)*F98),0)</f>
        <v>106</v>
      </c>
      <c r="E98" s="48">
        <f>ROUND(255-((255-E99)*F98),0)</f>
        <v>152</v>
      </c>
      <c r="F98" s="47">
        <v>0.75</v>
      </c>
      <c r="H98" s="48" t="str">
        <f t="shared" ref="H98" si="180">LOWER(_xlfn.CONCAT("    --",B95,"-",B98,": rgba(",C98,", ",D98,", ",E98,", ","1.00",");"))</f>
        <v xml:space="preserve">    --b1-light: rgba(234, 106, 152, 1.00);</v>
      </c>
      <c r="I98" s="48" t="str">
        <f t="shared" ref="I98" si="181">LOWER(_xlfn.CONCAT("  .color-",B95,"-",B98,"{","color: var(--",B95,"-",B98,");","}"))</f>
        <v xml:space="preserve">  .color-b1-light{color: var(--b1-light);}</v>
      </c>
      <c r="J98" s="48" t="str">
        <f t="shared" ref="J98" si="182">LOWER(_xlfn.CONCAT("  .bg-",B95,"-",B98,"{","background-color: var(--",B95,"-",B98,");","}"))</f>
        <v xml:space="preserve">  .bg-b1-light{background-color: var(--b1-light);}</v>
      </c>
    </row>
    <row r="99" spans="2:10" x14ac:dyDescent="0.45">
      <c r="B99" s="27" t="s">
        <v>28</v>
      </c>
      <c r="C99" s="50">
        <f>VLOOKUP(B95,$B$3:$E$21,2,FALSE)</f>
        <v>227</v>
      </c>
      <c r="D99" s="50">
        <f>VLOOKUP(B95,$B$3:$E$21,3,FALSE)</f>
        <v>56</v>
      </c>
      <c r="E99" s="50">
        <f>VLOOKUP(B95,$B$3:$E$21,4,FALSE)</f>
        <v>117</v>
      </c>
      <c r="F99" s="47">
        <v>0</v>
      </c>
      <c r="H99" s="48" t="str">
        <f t="shared" ref="H99" si="183">LOWER(_xlfn.CONCAT("    --",B95,"-",B99,": rgba(",C99,", ",D99,", ",E99,", ","1.00",");"))</f>
        <v xml:space="preserve">    --b1-normal: rgba(227, 56, 117, 1.00);</v>
      </c>
      <c r="I99" s="48" t="str">
        <f t="shared" ref="I99" si="184">LOWER(_xlfn.CONCAT("  .color-",B95,"-",B99,"{","color: var(--",B95,"-",B99,");","}"))</f>
        <v xml:space="preserve">  .color-b1-normal{color: var(--b1-normal);}</v>
      </c>
      <c r="J99" s="48" t="str">
        <f t="shared" ref="J99" si="185">LOWER(_xlfn.CONCAT("  .bg-",B95,"-",B99,"{","background-color: var(--",B95,"-",B99,");","}"))</f>
        <v xml:space="preserve">  .bg-b1-normal{background-color: var(--b1-normal);}</v>
      </c>
    </row>
    <row r="100" spans="2:10" x14ac:dyDescent="0.45">
      <c r="B100" s="27" t="s">
        <v>29</v>
      </c>
      <c r="C100" s="48">
        <f>ROUND(C99*(1+F100),0)</f>
        <v>170</v>
      </c>
      <c r="D100" s="48">
        <f>ROUND(D99*(1+F100),0)</f>
        <v>42</v>
      </c>
      <c r="E100" s="48">
        <f>ROUND(E99*(1+F100),0)</f>
        <v>88</v>
      </c>
      <c r="F100" s="47">
        <v>-0.25</v>
      </c>
      <c r="H100" s="48" t="str">
        <f t="shared" ref="H100" si="186">LOWER(_xlfn.CONCAT("    --",B95,"-",B100,": rgba(",C100,", ",D100,", ",E100,", ","1.00",");"))</f>
        <v xml:space="preserve">    --b1-dark: rgba(170, 42, 88, 1.00);</v>
      </c>
      <c r="I100" s="48" t="str">
        <f t="shared" ref="I100" si="187">LOWER(_xlfn.CONCAT("  .color-",B95,"-",B100,"{","color: var(--",B95,"-",B100,");","}"))</f>
        <v xml:space="preserve">  .color-b1-dark{color: var(--b1-dark);}</v>
      </c>
      <c r="J100" s="48" t="str">
        <f t="shared" ref="J100" si="188">LOWER(_xlfn.CONCAT("  .bg-",B95,"-",B100,"{","background-color: var(--",B95,"-",B100,");","}"))</f>
        <v xml:space="preserve">  .bg-b1-dark{background-color: var(--b1-dark);}</v>
      </c>
    </row>
    <row r="101" spans="2:10" x14ac:dyDescent="0.45">
      <c r="B101" s="27" t="s">
        <v>30</v>
      </c>
      <c r="C101" s="48">
        <f>ROUND(C99*(1+F101),0)</f>
        <v>114</v>
      </c>
      <c r="D101" s="48">
        <f>ROUND(D99*(1+F101),0)</f>
        <v>28</v>
      </c>
      <c r="E101" s="48">
        <f>ROUND(E99*(1+F101),0)</f>
        <v>59</v>
      </c>
      <c r="F101" s="47">
        <v>-0.5</v>
      </c>
      <c r="H101" s="48" t="str">
        <f t="shared" ref="H101" si="189">LOWER(_xlfn.CONCAT("    --",B95,"-",B101,": rgba(",C101,", ",D101,", ",E101,", ","1.00",");"))</f>
        <v xml:space="preserve">    --b1-darker: rgba(114, 28, 59, 1.00);</v>
      </c>
      <c r="I101" s="48" t="str">
        <f t="shared" ref="I101" si="190">LOWER(_xlfn.CONCAT("  .color-",B95,"-",B101,"{","color: var(--",B95,"-",B101,");","}"))</f>
        <v xml:space="preserve">  .color-b1-darker{color: var(--b1-darker);}</v>
      </c>
      <c r="J101" s="48" t="str">
        <f t="shared" ref="J101" si="191">LOWER(_xlfn.CONCAT("  .bg-",B95,"-",B101,"{","background-color: var(--",B95,"-",B101,");","}"))</f>
        <v xml:space="preserve">  .bg-b1-darker{background-color: var(--b1-darker);}</v>
      </c>
    </row>
    <row r="102" spans="2:10" x14ac:dyDescent="0.45">
      <c r="B102" s="27" t="s">
        <v>31</v>
      </c>
      <c r="C102" s="48">
        <f>ROUND(C99*(1+F102),0)</f>
        <v>57</v>
      </c>
      <c r="D102" s="48">
        <f>ROUND(D99*(1+F102),0)</f>
        <v>14</v>
      </c>
      <c r="E102" s="48">
        <f>ROUND(E99*(1+F102),0)</f>
        <v>29</v>
      </c>
      <c r="F102" s="47">
        <v>-0.75</v>
      </c>
      <c r="H102" s="48" t="str">
        <f t="shared" ref="H102" si="192">LOWER(_xlfn.CONCAT("    --",B95,"-",B102,": rgba(",C102,", ",D102,", ",E102,", ","1.00",");"))</f>
        <v xml:space="preserve">    --b1-darkest: rgba(57, 14, 29, 1.00);</v>
      </c>
      <c r="I102" s="48" t="str">
        <f t="shared" ref="I102" si="193">LOWER(_xlfn.CONCAT("  .color-",B95,"-",B102,"{","color: var(--",B95,"-",B102,");","}"))</f>
        <v xml:space="preserve">  .color-b1-darkest{color: var(--b1-darkest);}</v>
      </c>
      <c r="J102" s="48" t="str">
        <f t="shared" ref="J102" si="194">LOWER(_xlfn.CONCAT("  .bg-",B95,"-",B102,"{","background-color: var(--",B95,"-",B102,");","}"))</f>
        <v xml:space="preserve">  .bg-b1-darkest{background-color: var(--b1-darkest);}</v>
      </c>
    </row>
    <row r="103" spans="2:10" x14ac:dyDescent="0.45">
      <c r="B103" s="46" t="s">
        <v>48</v>
      </c>
      <c r="C103" s="49" t="s">
        <v>33</v>
      </c>
      <c r="D103" s="49" t="s">
        <v>34</v>
      </c>
      <c r="E103" s="49" t="s">
        <v>35</v>
      </c>
      <c r="F103" s="49" t="s">
        <v>36</v>
      </c>
      <c r="H103" s="49"/>
      <c r="I103" s="49"/>
      <c r="J103" s="49"/>
    </row>
    <row r="104" spans="2:10" x14ac:dyDescent="0.45">
      <c r="B104" s="27" t="s">
        <v>25</v>
      </c>
      <c r="C104" s="48">
        <f>ROUND(255-((255-C107)*F104),0)</f>
        <v>265</v>
      </c>
      <c r="D104" s="48">
        <f>ROUND(255-((255-D107)*F104),0)</f>
        <v>213</v>
      </c>
      <c r="E104" s="48">
        <f>ROUND(255-((255-E107)*F104),0)</f>
        <v>196</v>
      </c>
      <c r="F104" s="47">
        <v>0.25</v>
      </c>
      <c r="H104" s="48" t="str">
        <f t="shared" ref="H104" si="195">LOWER(_xlfn.CONCAT("    --",B103,"-",B104,": rgba(",C104,", ",D104,", ",E104,", ","1.00",");"))</f>
        <v xml:space="preserve">    --b2-lightest: rgba(265, 213, 196, 1.00);</v>
      </c>
      <c r="I104" s="48" t="str">
        <f t="shared" ref="I104" si="196">LOWER(_xlfn.CONCAT("  .color-",B103,"-",B104,"{","color: var(--",B103,"-",B104,");","}"))</f>
        <v xml:space="preserve">  .color-b2-lightest{color: var(--b2-lightest);}</v>
      </c>
      <c r="J104" s="48" t="str">
        <f t="shared" ref="J104" si="197">LOWER(_xlfn.CONCAT("  .bg-",B103,"-",B104,"{","background-color: var(--",B103,"-",B104,");","}"))</f>
        <v xml:space="preserve">  .bg-b2-lightest{background-color: var(--b2-lightest);}</v>
      </c>
    </row>
    <row r="105" spans="2:10" x14ac:dyDescent="0.45">
      <c r="B105" s="27" t="s">
        <v>26</v>
      </c>
      <c r="C105" s="48">
        <f>ROUND(255-((255-C107)*F105),0)</f>
        <v>275</v>
      </c>
      <c r="D105" s="48">
        <f>ROUND(255-((255-D107)*F105),0)</f>
        <v>171</v>
      </c>
      <c r="E105" s="48">
        <f>ROUND(255-((255-E107)*F105),0)</f>
        <v>137</v>
      </c>
      <c r="F105" s="47">
        <v>0.5</v>
      </c>
      <c r="H105" s="48" t="str">
        <f t="shared" ref="H105" si="198">LOWER(_xlfn.CONCAT("    --",B103,"-",B105,": rgba(",C105,", ",D105,", ",E105,", ","1.00",");"))</f>
        <v xml:space="preserve">    --b2-lighter: rgba(275, 171, 137, 1.00);</v>
      </c>
      <c r="I105" s="48" t="str">
        <f t="shared" ref="I105" si="199">LOWER(_xlfn.CONCAT("  .color-",B103,"-",B105,"{","color: var(--",B103,"-",B105,");","}"))</f>
        <v xml:space="preserve">  .color-b2-lighter{color: var(--b2-lighter);}</v>
      </c>
      <c r="J105" s="48" t="str">
        <f t="shared" ref="J105" si="200">LOWER(_xlfn.CONCAT("  .bg-",B103,"-",B105,"{","background-color: var(--",B103,"-",B105,");","}"))</f>
        <v xml:space="preserve">  .bg-b2-lighter{background-color: var(--b2-lighter);}</v>
      </c>
    </row>
    <row r="106" spans="2:10" x14ac:dyDescent="0.45">
      <c r="B106" s="27" t="s">
        <v>27</v>
      </c>
      <c r="C106" s="48">
        <f>ROUND(255-((255-C107)*F106),0)</f>
        <v>284</v>
      </c>
      <c r="D106" s="48">
        <f>ROUND(255-((255-D107)*F106),0)</f>
        <v>129</v>
      </c>
      <c r="E106" s="48">
        <f>ROUND(255-((255-E107)*F106),0)</f>
        <v>78</v>
      </c>
      <c r="F106" s="47">
        <v>0.75</v>
      </c>
      <c r="H106" s="48" t="str">
        <f t="shared" ref="H106" si="201">LOWER(_xlfn.CONCAT("    --",B103,"-",B106,": rgba(",C106,", ",D106,", ",E106,", ","1.00",");"))</f>
        <v xml:space="preserve">    --b2-light: rgba(284, 129, 78, 1.00);</v>
      </c>
      <c r="I106" s="48" t="str">
        <f t="shared" ref="I106" si="202">LOWER(_xlfn.CONCAT("  .color-",B103,"-",B106,"{","color: var(--",B103,"-",B106,");","}"))</f>
        <v xml:space="preserve">  .color-b2-light{color: var(--b2-light);}</v>
      </c>
      <c r="J106" s="48" t="str">
        <f t="shared" ref="J106" si="203">LOWER(_xlfn.CONCAT("  .bg-",B103,"-",B106,"{","background-color: var(--",B103,"-",B106,");","}"))</f>
        <v xml:space="preserve">  .bg-b2-light{background-color: var(--b2-light);}</v>
      </c>
    </row>
    <row r="107" spans="2:10" x14ac:dyDescent="0.45">
      <c r="B107" s="27" t="s">
        <v>28</v>
      </c>
      <c r="C107" s="50">
        <f>VLOOKUP(B103,$B$3:$E$21,2,FALSE)</f>
        <v>294</v>
      </c>
      <c r="D107" s="50">
        <f>VLOOKUP(B103,$B$3:$E$21,3,FALSE)</f>
        <v>87</v>
      </c>
      <c r="E107" s="50">
        <f>VLOOKUP(B103,$B$3:$E$21,4,FALSE)</f>
        <v>19</v>
      </c>
      <c r="F107" s="47">
        <v>0</v>
      </c>
      <c r="H107" s="48" t="str">
        <f t="shared" ref="H107" si="204">LOWER(_xlfn.CONCAT("    --",B103,"-",B107,": rgba(",C107,", ",D107,", ",E107,", ","1.00",");"))</f>
        <v xml:space="preserve">    --b2-normal: rgba(294, 87, 19, 1.00);</v>
      </c>
      <c r="I107" s="48" t="str">
        <f t="shared" ref="I107" si="205">LOWER(_xlfn.CONCAT("  .color-",B103,"-",B107,"{","color: var(--",B103,"-",B107,");","}"))</f>
        <v xml:space="preserve">  .color-b2-normal{color: var(--b2-normal);}</v>
      </c>
      <c r="J107" s="48" t="str">
        <f t="shared" ref="J107" si="206">LOWER(_xlfn.CONCAT("  .bg-",B103,"-",B107,"{","background-color: var(--",B103,"-",B107,");","}"))</f>
        <v xml:space="preserve">  .bg-b2-normal{background-color: var(--b2-normal);}</v>
      </c>
    </row>
    <row r="108" spans="2:10" x14ac:dyDescent="0.45">
      <c r="B108" s="27" t="s">
        <v>29</v>
      </c>
      <c r="C108" s="48">
        <f>ROUND(C107*(1+F108),0)</f>
        <v>221</v>
      </c>
      <c r="D108" s="48">
        <f>ROUND(D107*(1+F108),0)</f>
        <v>65</v>
      </c>
      <c r="E108" s="48">
        <f>ROUND(E107*(1+F108),0)</f>
        <v>14</v>
      </c>
      <c r="F108" s="47">
        <v>-0.25</v>
      </c>
      <c r="H108" s="48" t="str">
        <f t="shared" ref="H108" si="207">LOWER(_xlfn.CONCAT("    --",B103,"-",B108,": rgba(",C108,", ",D108,", ",E108,", ","1.00",");"))</f>
        <v xml:space="preserve">    --b2-dark: rgba(221, 65, 14, 1.00);</v>
      </c>
      <c r="I108" s="48" t="str">
        <f t="shared" ref="I108" si="208">LOWER(_xlfn.CONCAT("  .color-",B103,"-",B108,"{","color: var(--",B103,"-",B108,");","}"))</f>
        <v xml:space="preserve">  .color-b2-dark{color: var(--b2-dark);}</v>
      </c>
      <c r="J108" s="48" t="str">
        <f t="shared" ref="J108" si="209">LOWER(_xlfn.CONCAT("  .bg-",B103,"-",B108,"{","background-color: var(--",B103,"-",B108,");","}"))</f>
        <v xml:space="preserve">  .bg-b2-dark{background-color: var(--b2-dark);}</v>
      </c>
    </row>
    <row r="109" spans="2:10" x14ac:dyDescent="0.45">
      <c r="B109" s="27" t="s">
        <v>30</v>
      </c>
      <c r="C109" s="48">
        <f>ROUND(C107*(1+F109),0)</f>
        <v>147</v>
      </c>
      <c r="D109" s="48">
        <f>ROUND(D107*(1+F109),0)</f>
        <v>44</v>
      </c>
      <c r="E109" s="48">
        <f>ROUND(E107*(1+F109),0)</f>
        <v>10</v>
      </c>
      <c r="F109" s="47">
        <v>-0.5</v>
      </c>
      <c r="H109" s="48" t="str">
        <f t="shared" ref="H109" si="210">LOWER(_xlfn.CONCAT("    --",B103,"-",B109,": rgba(",C109,", ",D109,", ",E109,", ","1.00",");"))</f>
        <v xml:space="preserve">    --b2-darker: rgba(147, 44, 10, 1.00);</v>
      </c>
      <c r="I109" s="48" t="str">
        <f t="shared" ref="I109" si="211">LOWER(_xlfn.CONCAT("  .color-",B103,"-",B109,"{","color: var(--",B103,"-",B109,");","}"))</f>
        <v xml:space="preserve">  .color-b2-darker{color: var(--b2-darker);}</v>
      </c>
      <c r="J109" s="48" t="str">
        <f t="shared" ref="J109" si="212">LOWER(_xlfn.CONCAT("  .bg-",B103,"-",B109,"{","background-color: var(--",B103,"-",B109,");","}"))</f>
        <v xml:space="preserve">  .bg-b2-darker{background-color: var(--b2-darker);}</v>
      </c>
    </row>
    <row r="110" spans="2:10" x14ac:dyDescent="0.45">
      <c r="B110" s="27" t="s">
        <v>31</v>
      </c>
      <c r="C110" s="48">
        <f>ROUND(C107*(1+F110),0)</f>
        <v>74</v>
      </c>
      <c r="D110" s="48">
        <f>ROUND(D107*(1+F110),0)</f>
        <v>22</v>
      </c>
      <c r="E110" s="48">
        <f>ROUND(E107*(1+F110),0)</f>
        <v>5</v>
      </c>
      <c r="F110" s="47">
        <v>-0.75</v>
      </c>
      <c r="H110" s="48" t="str">
        <f t="shared" ref="H110" si="213">LOWER(_xlfn.CONCAT("    --",B103,"-",B110,": rgba(",C110,", ",D110,", ",E110,", ","1.00",");"))</f>
        <v xml:space="preserve">    --b2-darkest: rgba(74, 22, 5, 1.00);</v>
      </c>
      <c r="I110" s="48" t="str">
        <f t="shared" ref="I110" si="214">LOWER(_xlfn.CONCAT("  .color-",B103,"-",B110,"{","color: var(--",B103,"-",B110,");","}"))</f>
        <v xml:space="preserve">  .color-b2-darkest{color: var(--b2-darkest);}</v>
      </c>
      <c r="J110" s="48" t="str">
        <f t="shared" ref="J110" si="215">LOWER(_xlfn.CONCAT("  .bg-",B103,"-",B110,"{","background-color: var(--",B103,"-",B110,");","}"))</f>
        <v xml:space="preserve">  .bg-b2-darkest{background-color: var(--b2-darkest);}</v>
      </c>
    </row>
    <row r="111" spans="2:10" x14ac:dyDescent="0.45">
      <c r="B111" s="46" t="s">
        <v>49</v>
      </c>
      <c r="C111" s="49" t="s">
        <v>33</v>
      </c>
      <c r="D111" s="49" t="s">
        <v>34</v>
      </c>
      <c r="E111" s="49" t="s">
        <v>35</v>
      </c>
      <c r="F111" s="49" t="s">
        <v>36</v>
      </c>
      <c r="H111" s="49"/>
      <c r="I111" s="49"/>
      <c r="J111" s="49"/>
    </row>
    <row r="112" spans="2:10" x14ac:dyDescent="0.45">
      <c r="B112" s="27" t="s">
        <v>25</v>
      </c>
      <c r="C112" s="48">
        <f>ROUND(255-((255-C115)*F112),0)</f>
        <v>242</v>
      </c>
      <c r="D112" s="48">
        <f>ROUND(255-((255-D115)*F112),0)</f>
        <v>236</v>
      </c>
      <c r="E112" s="48">
        <f>ROUND(255-((255-E115)*F112),0)</f>
        <v>196</v>
      </c>
      <c r="F112" s="47">
        <v>0.25</v>
      </c>
      <c r="H112" s="48" t="str">
        <f t="shared" ref="H112" si="216">LOWER(_xlfn.CONCAT("    --",B111,"-",B112,": rgba(",C112,", ",D112,", ",E112,", ","1.00",");"))</f>
        <v xml:space="preserve">    --b3-lightest: rgba(242, 236, 196, 1.00);</v>
      </c>
      <c r="I112" s="48" t="str">
        <f t="shared" ref="I112" si="217">LOWER(_xlfn.CONCAT("  .color-",B111,"-",B112,"{","color: var(--",B111,"-",B112,");","}"))</f>
        <v xml:space="preserve">  .color-b3-lightest{color: var(--b3-lightest);}</v>
      </c>
      <c r="J112" s="48" t="str">
        <f t="shared" ref="J112" si="218">LOWER(_xlfn.CONCAT("  .bg-",B111,"-",B112,"{","background-color: var(--",B111,"-",B112,");","}"))</f>
        <v xml:space="preserve">  .bg-b3-lightest{background-color: var(--b3-lightest);}</v>
      </c>
    </row>
    <row r="113" spans="2:10" x14ac:dyDescent="0.45">
      <c r="B113" s="27" t="s">
        <v>26</v>
      </c>
      <c r="C113" s="48">
        <f>ROUND(255-((255-C115)*F113),0)</f>
        <v>229</v>
      </c>
      <c r="D113" s="48">
        <f>ROUND(255-((255-D115)*F113),0)</f>
        <v>218</v>
      </c>
      <c r="E113" s="48">
        <f>ROUND(255-((255-E115)*F113),0)</f>
        <v>137</v>
      </c>
      <c r="F113" s="47">
        <v>0.5</v>
      </c>
      <c r="H113" s="48" t="str">
        <f t="shared" ref="H113" si="219">LOWER(_xlfn.CONCAT("    --",B111,"-",B113,": rgba(",C113,", ",D113,", ",E113,", ","1.00",");"))</f>
        <v xml:space="preserve">    --b3-lighter: rgba(229, 218, 137, 1.00);</v>
      </c>
      <c r="I113" s="48" t="str">
        <f t="shared" ref="I113" si="220">LOWER(_xlfn.CONCAT("  .color-",B111,"-",B113,"{","color: var(--",B111,"-",B113,");","}"))</f>
        <v xml:space="preserve">  .color-b3-lighter{color: var(--b3-lighter);}</v>
      </c>
      <c r="J113" s="48" t="str">
        <f t="shared" ref="J113" si="221">LOWER(_xlfn.CONCAT("  .bg-",B111,"-",B113,"{","background-color: var(--",B111,"-",B113,");","}"))</f>
        <v xml:space="preserve">  .bg-b3-lighter{background-color: var(--b3-lighter);}</v>
      </c>
    </row>
    <row r="114" spans="2:10" x14ac:dyDescent="0.45">
      <c r="B114" s="27" t="s">
        <v>27</v>
      </c>
      <c r="C114" s="48">
        <f>ROUND(255-((255-C115)*F114),0)</f>
        <v>215</v>
      </c>
      <c r="D114" s="48">
        <f>ROUND(255-((255-D115)*F114),0)</f>
        <v>199</v>
      </c>
      <c r="E114" s="48">
        <f>ROUND(255-((255-E115)*F114),0)</f>
        <v>78</v>
      </c>
      <c r="F114" s="47">
        <v>0.75</v>
      </c>
      <c r="H114" s="48" t="str">
        <f t="shared" ref="H114" si="222">LOWER(_xlfn.CONCAT("    --",B111,"-",B114,": rgba(",C114,", ",D114,", ",E114,", ","1.00",");"))</f>
        <v xml:space="preserve">    --b3-light: rgba(215, 199, 78, 1.00);</v>
      </c>
      <c r="I114" s="48" t="str">
        <f t="shared" ref="I114" si="223">LOWER(_xlfn.CONCAT("  .color-",B111,"-",B114,"{","color: var(--",B111,"-",B114,");","}"))</f>
        <v xml:space="preserve">  .color-b3-light{color: var(--b3-light);}</v>
      </c>
      <c r="J114" s="48" t="str">
        <f t="shared" ref="J114" si="224">LOWER(_xlfn.CONCAT("  .bg-",B111,"-",B114,"{","background-color: var(--",B111,"-",B114,");","}"))</f>
        <v xml:space="preserve">  .bg-b3-light{background-color: var(--b3-light);}</v>
      </c>
    </row>
    <row r="115" spans="2:10" x14ac:dyDescent="0.45">
      <c r="B115" s="27" t="s">
        <v>28</v>
      </c>
      <c r="C115" s="50">
        <f>VLOOKUP(B111,$B$3:$E$21,2,FALSE)</f>
        <v>202</v>
      </c>
      <c r="D115" s="50">
        <f>VLOOKUP(B111,$B$3:$E$21,3,FALSE)</f>
        <v>180</v>
      </c>
      <c r="E115" s="50">
        <f>VLOOKUP(B111,$B$3:$E$21,4,FALSE)</f>
        <v>19</v>
      </c>
      <c r="F115" s="47">
        <v>0</v>
      </c>
      <c r="H115" s="48" t="str">
        <f t="shared" ref="H115" si="225">LOWER(_xlfn.CONCAT("    --",B111,"-",B115,": rgba(",C115,", ",D115,", ",E115,", ","1.00",");"))</f>
        <v xml:space="preserve">    --b3-normal: rgba(202, 180, 19, 1.00);</v>
      </c>
      <c r="I115" s="48" t="str">
        <f t="shared" ref="I115" si="226">LOWER(_xlfn.CONCAT("  .color-",B111,"-",B115,"{","color: var(--",B111,"-",B115,");","}"))</f>
        <v xml:space="preserve">  .color-b3-normal{color: var(--b3-normal);}</v>
      </c>
      <c r="J115" s="48" t="str">
        <f t="shared" ref="J115" si="227">LOWER(_xlfn.CONCAT("  .bg-",B111,"-",B115,"{","background-color: var(--",B111,"-",B115,");","}"))</f>
        <v xml:space="preserve">  .bg-b3-normal{background-color: var(--b3-normal);}</v>
      </c>
    </row>
    <row r="116" spans="2:10" x14ac:dyDescent="0.45">
      <c r="B116" s="27" t="s">
        <v>29</v>
      </c>
      <c r="C116" s="48">
        <f>ROUND(C115*(1+F116),0)</f>
        <v>152</v>
      </c>
      <c r="D116" s="48">
        <f>ROUND(D115*(1+F116),0)</f>
        <v>135</v>
      </c>
      <c r="E116" s="48">
        <f>ROUND(E115*(1+F116),0)</f>
        <v>14</v>
      </c>
      <c r="F116" s="47">
        <v>-0.25</v>
      </c>
      <c r="H116" s="48" t="str">
        <f t="shared" ref="H116" si="228">LOWER(_xlfn.CONCAT("    --",B111,"-",B116,": rgba(",C116,", ",D116,", ",E116,", ","1.00",");"))</f>
        <v xml:space="preserve">    --b3-dark: rgba(152, 135, 14, 1.00);</v>
      </c>
      <c r="I116" s="48" t="str">
        <f t="shared" ref="I116" si="229">LOWER(_xlfn.CONCAT("  .color-",B111,"-",B116,"{","color: var(--",B111,"-",B116,");","}"))</f>
        <v xml:space="preserve">  .color-b3-dark{color: var(--b3-dark);}</v>
      </c>
      <c r="J116" s="48" t="str">
        <f t="shared" ref="J116" si="230">LOWER(_xlfn.CONCAT("  .bg-",B111,"-",B116,"{","background-color: var(--",B111,"-",B116,");","}"))</f>
        <v xml:space="preserve">  .bg-b3-dark{background-color: var(--b3-dark);}</v>
      </c>
    </row>
    <row r="117" spans="2:10" x14ac:dyDescent="0.45">
      <c r="B117" s="27" t="s">
        <v>30</v>
      </c>
      <c r="C117" s="48">
        <f>ROUND(C115*(1+F117),0)</f>
        <v>101</v>
      </c>
      <c r="D117" s="48">
        <f>ROUND(D115*(1+F117),0)</f>
        <v>90</v>
      </c>
      <c r="E117" s="48">
        <f>ROUND(E115*(1+F117),0)</f>
        <v>10</v>
      </c>
      <c r="F117" s="47">
        <v>-0.5</v>
      </c>
      <c r="H117" s="48" t="str">
        <f t="shared" ref="H117" si="231">LOWER(_xlfn.CONCAT("    --",B111,"-",B117,": rgba(",C117,", ",D117,", ",E117,", ","1.00",");"))</f>
        <v xml:space="preserve">    --b3-darker: rgba(101, 90, 10, 1.00);</v>
      </c>
      <c r="I117" s="48" t="str">
        <f t="shared" ref="I117" si="232">LOWER(_xlfn.CONCAT("  .color-",B111,"-",B117,"{","color: var(--",B111,"-",B117,");","}"))</f>
        <v xml:space="preserve">  .color-b3-darker{color: var(--b3-darker);}</v>
      </c>
      <c r="J117" s="48" t="str">
        <f t="shared" ref="J117" si="233">LOWER(_xlfn.CONCAT("  .bg-",B111,"-",B117,"{","background-color: var(--",B111,"-",B117,");","}"))</f>
        <v xml:space="preserve">  .bg-b3-darker{background-color: var(--b3-darker);}</v>
      </c>
    </row>
    <row r="118" spans="2:10" x14ac:dyDescent="0.45">
      <c r="B118" s="27" t="s">
        <v>31</v>
      </c>
      <c r="C118" s="48">
        <f>ROUND(C115*(1+F118),0)</f>
        <v>51</v>
      </c>
      <c r="D118" s="48">
        <f>ROUND(D115*(1+F118),0)</f>
        <v>45</v>
      </c>
      <c r="E118" s="48">
        <f>ROUND(E115*(1+F118),0)</f>
        <v>5</v>
      </c>
      <c r="F118" s="47">
        <v>-0.75</v>
      </c>
      <c r="H118" s="48" t="str">
        <f t="shared" ref="H118" si="234">LOWER(_xlfn.CONCAT("    --",B111,"-",B118,": rgba(",C118,", ",D118,", ",E118,", ","1.00",");"))</f>
        <v xml:space="preserve">    --b3-darkest: rgba(51, 45, 5, 1.00);</v>
      </c>
      <c r="I118" s="48" t="str">
        <f t="shared" ref="I118" si="235">LOWER(_xlfn.CONCAT("  .color-",B111,"-",B118,"{","color: var(--",B111,"-",B118,");","}"))</f>
        <v xml:space="preserve">  .color-b3-darkest{color: var(--b3-darkest);}</v>
      </c>
      <c r="J118" s="48" t="str">
        <f t="shared" ref="J118" si="236">LOWER(_xlfn.CONCAT("  .bg-",B111,"-",B118,"{","background-color: var(--",B111,"-",B118,");","}"))</f>
        <v xml:space="preserve">  .bg-b3-darkest{background-color: var(--b3-darkest);}</v>
      </c>
    </row>
    <row r="119" spans="2:10" x14ac:dyDescent="0.45">
      <c r="B119" s="46" t="s">
        <v>50</v>
      </c>
      <c r="C119" s="49" t="s">
        <v>33</v>
      </c>
      <c r="D119" s="49" t="s">
        <v>34</v>
      </c>
      <c r="E119" s="49" t="s">
        <v>35</v>
      </c>
      <c r="F119" s="49" t="s">
        <v>36</v>
      </c>
      <c r="H119" s="49"/>
      <c r="I119" s="49"/>
      <c r="J119" s="49"/>
    </row>
    <row r="120" spans="2:10" x14ac:dyDescent="0.45">
      <c r="B120" s="27" t="s">
        <v>25</v>
      </c>
      <c r="C120" s="48">
        <f>ROUND(255-((255-C123)*F120),0)</f>
        <v>224</v>
      </c>
      <c r="D120" s="48">
        <f>ROUND(255-((255-D123)*F120),0)</f>
        <v>238</v>
      </c>
      <c r="E120" s="48">
        <f>ROUND(255-((255-E123)*F120),0)</f>
        <v>212</v>
      </c>
      <c r="F120" s="47">
        <v>0.25</v>
      </c>
      <c r="H120" s="48" t="str">
        <f t="shared" ref="H120" si="237">LOWER(_xlfn.CONCAT("    --",B119,"-",B120,": rgba(",C120,", ",D120,", ",E120,", ","1.00",");"))</f>
        <v xml:space="preserve">    --b4-lightest: rgba(224, 238, 212, 1.00);</v>
      </c>
      <c r="I120" s="48" t="str">
        <f t="shared" ref="I120" si="238">LOWER(_xlfn.CONCAT("  .color-",B119,"-",B120,"{","color: var(--",B119,"-",B120,");","}"))</f>
        <v xml:space="preserve">  .color-b4-lightest{color: var(--b4-lightest);}</v>
      </c>
      <c r="J120" s="48" t="str">
        <f t="shared" ref="J120" si="239">LOWER(_xlfn.CONCAT("  .bg-",B119,"-",B120,"{","background-color: var(--",B119,"-",B120,");","}"))</f>
        <v xml:space="preserve">  .bg-b4-lightest{background-color: var(--b4-lightest);}</v>
      </c>
    </row>
    <row r="121" spans="2:10" x14ac:dyDescent="0.45">
      <c r="B121" s="27" t="s">
        <v>26</v>
      </c>
      <c r="C121" s="48">
        <f>ROUND(255-((255-C123)*F121),0)</f>
        <v>194</v>
      </c>
      <c r="D121" s="48">
        <f>ROUND(255-((255-D123)*F121),0)</f>
        <v>220</v>
      </c>
      <c r="E121" s="48">
        <f>ROUND(255-((255-E123)*F121),0)</f>
        <v>169</v>
      </c>
      <c r="F121" s="47">
        <v>0.5</v>
      </c>
      <c r="H121" s="48" t="str">
        <f t="shared" ref="H121" si="240">LOWER(_xlfn.CONCAT("    --",B119,"-",B121,": rgba(",C121,", ",D121,", ",E121,", ","1.00",");"))</f>
        <v xml:space="preserve">    --b4-lighter: rgba(194, 220, 169, 1.00);</v>
      </c>
      <c r="I121" s="48" t="str">
        <f t="shared" ref="I121" si="241">LOWER(_xlfn.CONCAT("  .color-",B119,"-",B121,"{","color: var(--",B119,"-",B121,");","}"))</f>
        <v xml:space="preserve">  .color-b4-lighter{color: var(--b4-lighter);}</v>
      </c>
      <c r="J121" s="48" t="str">
        <f t="shared" ref="J121" si="242">LOWER(_xlfn.CONCAT("  .bg-",B119,"-",B121,"{","background-color: var(--",B119,"-",B121,");","}"))</f>
        <v xml:space="preserve">  .bg-b4-lighter{background-color: var(--b4-lighter);}</v>
      </c>
    </row>
    <row r="122" spans="2:10" x14ac:dyDescent="0.45">
      <c r="B122" s="27" t="s">
        <v>27</v>
      </c>
      <c r="C122" s="48">
        <f>ROUND(255-((255-C123)*F122),0)</f>
        <v>163</v>
      </c>
      <c r="D122" s="48">
        <f>ROUND(255-((255-D123)*F122),0)</f>
        <v>203</v>
      </c>
      <c r="E122" s="48">
        <f>ROUND(255-((255-E123)*F122),0)</f>
        <v>126</v>
      </c>
      <c r="F122" s="47">
        <v>0.75</v>
      </c>
      <c r="H122" s="48" t="str">
        <f t="shared" ref="H122" si="243">LOWER(_xlfn.CONCAT("    --",B119,"-",B122,": rgba(",C122,", ",D122,", ",E122,", ","1.00",");"))</f>
        <v xml:space="preserve">    --b4-light: rgba(163, 203, 126, 1.00);</v>
      </c>
      <c r="I122" s="48" t="str">
        <f t="shared" ref="I122" si="244">LOWER(_xlfn.CONCAT("  .color-",B119,"-",B122,"{","color: var(--",B119,"-",B122,");","}"))</f>
        <v xml:space="preserve">  .color-b4-light{color: var(--b4-light);}</v>
      </c>
      <c r="J122" s="48" t="str">
        <f t="shared" ref="J122" si="245">LOWER(_xlfn.CONCAT("  .bg-",B119,"-",B122,"{","background-color: var(--",B119,"-",B122,");","}"))</f>
        <v xml:space="preserve">  .bg-b4-light{background-color: var(--b4-light);}</v>
      </c>
    </row>
    <row r="123" spans="2:10" x14ac:dyDescent="0.45">
      <c r="B123" s="27" t="s">
        <v>28</v>
      </c>
      <c r="C123" s="50">
        <f>VLOOKUP(B119,$B$3:$E$21,2,FALSE)</f>
        <v>132</v>
      </c>
      <c r="D123" s="50">
        <f>VLOOKUP(B119,$B$3:$E$21,3,FALSE)</f>
        <v>185</v>
      </c>
      <c r="E123" s="50">
        <f>VLOOKUP(B119,$B$3:$E$21,4,FALSE)</f>
        <v>83</v>
      </c>
      <c r="F123" s="47">
        <v>0</v>
      </c>
      <c r="H123" s="48" t="str">
        <f t="shared" ref="H123" si="246">LOWER(_xlfn.CONCAT("    --",B119,"-",B123,": rgba(",C123,", ",D123,", ",E123,", ","1.00",");"))</f>
        <v xml:space="preserve">    --b4-normal: rgba(132, 185, 83, 1.00);</v>
      </c>
      <c r="I123" s="48" t="str">
        <f t="shared" ref="I123" si="247">LOWER(_xlfn.CONCAT("  .color-",B119,"-",B123,"{","color: var(--",B119,"-",B123,");","}"))</f>
        <v xml:space="preserve">  .color-b4-normal{color: var(--b4-normal);}</v>
      </c>
      <c r="J123" s="48" t="str">
        <f t="shared" ref="J123" si="248">LOWER(_xlfn.CONCAT("  .bg-",B119,"-",B123,"{","background-color: var(--",B119,"-",B123,");","}"))</f>
        <v xml:space="preserve">  .bg-b4-normal{background-color: var(--b4-normal);}</v>
      </c>
    </row>
    <row r="124" spans="2:10" x14ac:dyDescent="0.45">
      <c r="B124" s="27" t="s">
        <v>29</v>
      </c>
      <c r="C124" s="48">
        <f>ROUND(C123*(1+F124),0)</f>
        <v>99</v>
      </c>
      <c r="D124" s="48">
        <f>ROUND(D123*(1+F124),0)</f>
        <v>139</v>
      </c>
      <c r="E124" s="48">
        <f>ROUND(E123*(1+F124),0)</f>
        <v>62</v>
      </c>
      <c r="F124" s="47">
        <v>-0.25</v>
      </c>
      <c r="H124" s="48" t="str">
        <f t="shared" ref="H124" si="249">LOWER(_xlfn.CONCAT("    --",B119,"-",B124,": rgba(",C124,", ",D124,", ",E124,", ","1.00",");"))</f>
        <v xml:space="preserve">    --b4-dark: rgba(99, 139, 62, 1.00);</v>
      </c>
      <c r="I124" s="48" t="str">
        <f t="shared" ref="I124" si="250">LOWER(_xlfn.CONCAT("  .color-",B119,"-",B124,"{","color: var(--",B119,"-",B124,");","}"))</f>
        <v xml:space="preserve">  .color-b4-dark{color: var(--b4-dark);}</v>
      </c>
      <c r="J124" s="48" t="str">
        <f t="shared" ref="J124" si="251">LOWER(_xlfn.CONCAT("  .bg-",B119,"-",B124,"{","background-color: var(--",B119,"-",B124,");","}"))</f>
        <v xml:space="preserve">  .bg-b4-dark{background-color: var(--b4-dark);}</v>
      </c>
    </row>
    <row r="125" spans="2:10" x14ac:dyDescent="0.45">
      <c r="B125" s="27" t="s">
        <v>30</v>
      </c>
      <c r="C125" s="48">
        <f>ROUND(C123*(1+F125),0)</f>
        <v>66</v>
      </c>
      <c r="D125" s="48">
        <f>ROUND(D123*(1+F125),0)</f>
        <v>93</v>
      </c>
      <c r="E125" s="48">
        <f>ROUND(E123*(1+F125),0)</f>
        <v>42</v>
      </c>
      <c r="F125" s="47">
        <v>-0.5</v>
      </c>
      <c r="H125" s="48" t="str">
        <f t="shared" ref="H125" si="252">LOWER(_xlfn.CONCAT("    --",B119,"-",B125,": rgba(",C125,", ",D125,", ",E125,", ","1.00",");"))</f>
        <v xml:space="preserve">    --b4-darker: rgba(66, 93, 42, 1.00);</v>
      </c>
      <c r="I125" s="48" t="str">
        <f t="shared" ref="I125" si="253">LOWER(_xlfn.CONCAT("  .color-",B119,"-",B125,"{","color: var(--",B119,"-",B125,");","}"))</f>
        <v xml:space="preserve">  .color-b4-darker{color: var(--b4-darker);}</v>
      </c>
      <c r="J125" s="48" t="str">
        <f t="shared" ref="J125" si="254">LOWER(_xlfn.CONCAT("  .bg-",B119,"-",B125,"{","background-color: var(--",B119,"-",B125,");","}"))</f>
        <v xml:space="preserve">  .bg-b4-darker{background-color: var(--b4-darker);}</v>
      </c>
    </row>
    <row r="126" spans="2:10" x14ac:dyDescent="0.45">
      <c r="B126" s="27" t="s">
        <v>31</v>
      </c>
      <c r="C126" s="48">
        <f>ROUND(C123*(1+F126),0)</f>
        <v>33</v>
      </c>
      <c r="D126" s="48">
        <f>ROUND(D123*(1+F126),0)</f>
        <v>46</v>
      </c>
      <c r="E126" s="48">
        <f>ROUND(E123*(1+F126),0)</f>
        <v>21</v>
      </c>
      <c r="F126" s="47">
        <v>-0.75</v>
      </c>
      <c r="H126" s="48" t="str">
        <f t="shared" ref="H126" si="255">LOWER(_xlfn.CONCAT("    --",B119,"-",B126,": rgba(",C126,", ",D126,", ",E126,", ","1.00",");"))</f>
        <v xml:space="preserve">    --b4-darkest: rgba(33, 46, 21, 1.00);</v>
      </c>
      <c r="I126" s="48" t="str">
        <f t="shared" ref="I126" si="256">LOWER(_xlfn.CONCAT("  .color-",B119,"-",B126,"{","color: var(--",B119,"-",B126,");","}"))</f>
        <v xml:space="preserve">  .color-b4-darkest{color: var(--b4-darkest);}</v>
      </c>
      <c r="J126" s="48" t="str">
        <f t="shared" ref="J126" si="257">LOWER(_xlfn.CONCAT("  .bg-",B119,"-",B126,"{","background-color: var(--",B119,"-",B126,");","}"))</f>
        <v xml:space="preserve">  .bg-b4-darkest{background-color: var(--b4-darkest);}</v>
      </c>
    </row>
    <row r="127" spans="2:10" x14ac:dyDescent="0.45">
      <c r="B127" s="46" t="s">
        <v>51</v>
      </c>
      <c r="C127" s="49" t="s">
        <v>33</v>
      </c>
      <c r="D127" s="49" t="s">
        <v>34</v>
      </c>
      <c r="E127" s="49" t="s">
        <v>35</v>
      </c>
      <c r="F127" s="49" t="s">
        <v>36</v>
      </c>
      <c r="H127" s="49"/>
      <c r="I127" s="49"/>
      <c r="J127" s="49"/>
    </row>
    <row r="128" spans="2:10" x14ac:dyDescent="0.45">
      <c r="B128" s="27" t="s">
        <v>25</v>
      </c>
      <c r="C128" s="48">
        <f>ROUND(255-((255-C131)*F128),0)</f>
        <v>209</v>
      </c>
      <c r="D128" s="48">
        <f>ROUND(255-((255-D131)*F128),0)</f>
        <v>240</v>
      </c>
      <c r="E128" s="48">
        <f>ROUND(255-((255-E131)*F128),0)</f>
        <v>225</v>
      </c>
      <c r="F128" s="47">
        <v>0.25</v>
      </c>
      <c r="H128" s="48" t="str">
        <f t="shared" ref="H128" si="258">LOWER(_xlfn.CONCAT("    --",B127,"-",B128,": rgba(",C128,", ",D128,", ",E128,", ","1.00",");"))</f>
        <v xml:space="preserve">    --b5-lightest: rgba(209, 240, 225, 1.00);</v>
      </c>
      <c r="I128" s="48" t="str">
        <f t="shared" ref="I128" si="259">LOWER(_xlfn.CONCAT("  .color-",B127,"-",B128,"{","color: var(--",B127,"-",B128,");","}"))</f>
        <v xml:space="preserve">  .color-b5-lightest{color: var(--b5-lightest);}</v>
      </c>
      <c r="J128" s="48" t="str">
        <f t="shared" ref="J128" si="260">LOWER(_xlfn.CONCAT("  .bg-",B127,"-",B128,"{","background-color: var(--",B127,"-",B128,");","}"))</f>
        <v xml:space="preserve">  .bg-b5-lightest{background-color: var(--b5-lightest);}</v>
      </c>
    </row>
    <row r="129" spans="2:10" x14ac:dyDescent="0.45">
      <c r="B129" s="27" t="s">
        <v>26</v>
      </c>
      <c r="C129" s="48">
        <f>ROUND(255-((255-C131)*F129),0)</f>
        <v>164</v>
      </c>
      <c r="D129" s="48">
        <f>ROUND(255-((255-D131)*F129),0)</f>
        <v>224</v>
      </c>
      <c r="E129" s="48">
        <f>ROUND(255-((255-E131)*F129),0)</f>
        <v>196</v>
      </c>
      <c r="F129" s="47">
        <v>0.5</v>
      </c>
      <c r="H129" s="48" t="str">
        <f t="shared" ref="H129" si="261">LOWER(_xlfn.CONCAT("    --",B127,"-",B129,": rgba(",C129,", ",D129,", ",E129,", ","1.00",");"))</f>
        <v xml:space="preserve">    --b5-lighter: rgba(164, 224, 196, 1.00);</v>
      </c>
      <c r="I129" s="48" t="str">
        <f t="shared" ref="I129" si="262">LOWER(_xlfn.CONCAT("  .color-",B127,"-",B129,"{","color: var(--",B127,"-",B129,");","}"))</f>
        <v xml:space="preserve">  .color-b5-lighter{color: var(--b5-lighter);}</v>
      </c>
      <c r="J129" s="48" t="str">
        <f t="shared" ref="J129" si="263">LOWER(_xlfn.CONCAT("  .bg-",B127,"-",B129,"{","background-color: var(--",B127,"-",B129,");","}"))</f>
        <v xml:space="preserve">  .bg-b5-lighter{background-color: var(--b5-lighter);}</v>
      </c>
    </row>
    <row r="130" spans="2:10" x14ac:dyDescent="0.45">
      <c r="B130" s="27" t="s">
        <v>27</v>
      </c>
      <c r="C130" s="48">
        <f>ROUND(255-((255-C131)*F130),0)</f>
        <v>118</v>
      </c>
      <c r="D130" s="48">
        <f>ROUND(255-((255-D131)*F130),0)</f>
        <v>209</v>
      </c>
      <c r="E130" s="48">
        <f>ROUND(255-((255-E131)*F130),0)</f>
        <v>166</v>
      </c>
      <c r="F130" s="47">
        <v>0.75</v>
      </c>
      <c r="H130" s="48" t="str">
        <f t="shared" ref="H130" si="264">LOWER(_xlfn.CONCAT("    --",B127,"-",B130,": rgba(",C130,", ",D130,", ",E130,", ","1.00",");"))</f>
        <v xml:space="preserve">    --b5-light: rgba(118, 209, 166, 1.00);</v>
      </c>
      <c r="I130" s="48" t="str">
        <f t="shared" ref="I130" si="265">LOWER(_xlfn.CONCAT("  .color-",B127,"-",B130,"{","color: var(--",B127,"-",B130,");","}"))</f>
        <v xml:space="preserve">  .color-b5-light{color: var(--b5-light);}</v>
      </c>
      <c r="J130" s="48" t="str">
        <f t="shared" ref="J130" si="266">LOWER(_xlfn.CONCAT("  .bg-",B127,"-",B130,"{","background-color: var(--",B127,"-",B130,");","}"))</f>
        <v xml:space="preserve">  .bg-b5-light{background-color: var(--b5-light);}</v>
      </c>
    </row>
    <row r="131" spans="2:10" x14ac:dyDescent="0.45">
      <c r="B131" s="27" t="s">
        <v>28</v>
      </c>
      <c r="C131" s="50">
        <f>VLOOKUP(B127,$B$3:$E$21,2,FALSE)</f>
        <v>72</v>
      </c>
      <c r="D131" s="50">
        <f>VLOOKUP(B127,$B$3:$E$21,3,FALSE)</f>
        <v>193</v>
      </c>
      <c r="E131" s="50">
        <f>VLOOKUP(B127,$B$3:$E$21,4,FALSE)</f>
        <v>136</v>
      </c>
      <c r="F131" s="47">
        <v>0</v>
      </c>
      <c r="H131" s="48" t="str">
        <f t="shared" ref="H131" si="267">LOWER(_xlfn.CONCAT("    --",B127,"-",B131,": rgba(",C131,", ",D131,", ",E131,", ","1.00",");"))</f>
        <v xml:space="preserve">    --b5-normal: rgba(72, 193, 136, 1.00);</v>
      </c>
      <c r="I131" s="48" t="str">
        <f t="shared" ref="I131" si="268">LOWER(_xlfn.CONCAT("  .color-",B127,"-",B131,"{","color: var(--",B127,"-",B131,");","}"))</f>
        <v xml:space="preserve">  .color-b5-normal{color: var(--b5-normal);}</v>
      </c>
      <c r="J131" s="48" t="str">
        <f t="shared" ref="J131" si="269">LOWER(_xlfn.CONCAT("  .bg-",B127,"-",B131,"{","background-color: var(--",B127,"-",B131,");","}"))</f>
        <v xml:space="preserve">  .bg-b5-normal{background-color: var(--b5-normal);}</v>
      </c>
    </row>
    <row r="132" spans="2:10" x14ac:dyDescent="0.45">
      <c r="B132" s="27" t="s">
        <v>29</v>
      </c>
      <c r="C132" s="48">
        <f>ROUND(C131*(1+F132),0)</f>
        <v>54</v>
      </c>
      <c r="D132" s="48">
        <f>ROUND(D131*(1+F132),0)</f>
        <v>145</v>
      </c>
      <c r="E132" s="48">
        <f>ROUND(E131*(1+F132),0)</f>
        <v>102</v>
      </c>
      <c r="F132" s="47">
        <v>-0.25</v>
      </c>
      <c r="H132" s="48" t="str">
        <f t="shared" ref="H132" si="270">LOWER(_xlfn.CONCAT("    --",B127,"-",B132,": rgba(",C132,", ",D132,", ",E132,", ","1.00",");"))</f>
        <v xml:space="preserve">    --b5-dark: rgba(54, 145, 102, 1.00);</v>
      </c>
      <c r="I132" s="48" t="str">
        <f t="shared" ref="I132" si="271">LOWER(_xlfn.CONCAT("  .color-",B127,"-",B132,"{","color: var(--",B127,"-",B132,");","}"))</f>
        <v xml:space="preserve">  .color-b5-dark{color: var(--b5-dark);}</v>
      </c>
      <c r="J132" s="48" t="str">
        <f t="shared" ref="J132" si="272">LOWER(_xlfn.CONCAT("  .bg-",B127,"-",B132,"{","background-color: var(--",B127,"-",B132,");","}"))</f>
        <v xml:space="preserve">  .bg-b5-dark{background-color: var(--b5-dark);}</v>
      </c>
    </row>
    <row r="133" spans="2:10" x14ac:dyDescent="0.45">
      <c r="B133" s="27" t="s">
        <v>30</v>
      </c>
      <c r="C133" s="48">
        <f>ROUND(C131*(1+F133),0)</f>
        <v>36</v>
      </c>
      <c r="D133" s="48">
        <f>ROUND(D131*(1+F133),0)</f>
        <v>97</v>
      </c>
      <c r="E133" s="48">
        <f>ROUND(E131*(1+F133),0)</f>
        <v>68</v>
      </c>
      <c r="F133" s="47">
        <v>-0.5</v>
      </c>
      <c r="H133" s="48" t="str">
        <f t="shared" ref="H133" si="273">LOWER(_xlfn.CONCAT("    --",B127,"-",B133,": rgba(",C133,", ",D133,", ",E133,", ","1.00",");"))</f>
        <v xml:space="preserve">    --b5-darker: rgba(36, 97, 68, 1.00);</v>
      </c>
      <c r="I133" s="48" t="str">
        <f t="shared" ref="I133" si="274">LOWER(_xlfn.CONCAT("  .color-",B127,"-",B133,"{","color: var(--",B127,"-",B133,");","}"))</f>
        <v xml:space="preserve">  .color-b5-darker{color: var(--b5-darker);}</v>
      </c>
      <c r="J133" s="48" t="str">
        <f t="shared" ref="J133" si="275">LOWER(_xlfn.CONCAT("  .bg-",B127,"-",B133,"{","background-color: var(--",B127,"-",B133,");","}"))</f>
        <v xml:space="preserve">  .bg-b5-darker{background-color: var(--b5-darker);}</v>
      </c>
    </row>
    <row r="134" spans="2:10" x14ac:dyDescent="0.45">
      <c r="B134" s="27" t="s">
        <v>31</v>
      </c>
      <c r="C134" s="48">
        <f>ROUND(C131*(1+F134),0)</f>
        <v>18</v>
      </c>
      <c r="D134" s="48">
        <f>ROUND(D131*(1+F134),0)</f>
        <v>48</v>
      </c>
      <c r="E134" s="48">
        <f>ROUND(E131*(1+F134),0)</f>
        <v>34</v>
      </c>
      <c r="F134" s="47">
        <v>-0.75</v>
      </c>
      <c r="H134" s="48" t="str">
        <f t="shared" ref="H134" si="276">LOWER(_xlfn.CONCAT("    --",B127,"-",B134,": rgba(",C134,", ",D134,", ",E134,", ","1.00",");"))</f>
        <v xml:space="preserve">    --b5-darkest: rgba(18, 48, 34, 1.00);</v>
      </c>
      <c r="I134" s="48" t="str">
        <f t="shared" ref="I134" si="277">LOWER(_xlfn.CONCAT("  .color-",B127,"-",B134,"{","color: var(--",B127,"-",B134,");","}"))</f>
        <v xml:space="preserve">  .color-b5-darkest{color: var(--b5-darkest);}</v>
      </c>
      <c r="J134" s="48" t="str">
        <f t="shared" ref="J134" si="278">LOWER(_xlfn.CONCAT("  .bg-",B127,"-",B134,"{","background-color: var(--",B127,"-",B134,");","}"))</f>
        <v xml:space="preserve">  .bg-b5-darkest{background-color: var(--b5-darkest);}</v>
      </c>
    </row>
    <row r="135" spans="2:10" x14ac:dyDescent="0.45">
      <c r="B135" s="46" t="s">
        <v>52</v>
      </c>
      <c r="C135" s="49" t="s">
        <v>33</v>
      </c>
      <c r="D135" s="49" t="s">
        <v>34</v>
      </c>
      <c r="E135" s="49" t="s">
        <v>35</v>
      </c>
      <c r="F135" s="49" t="s">
        <v>36</v>
      </c>
      <c r="H135" s="49"/>
      <c r="I135" s="49"/>
      <c r="J135" s="49"/>
    </row>
    <row r="136" spans="2:10" x14ac:dyDescent="0.45">
      <c r="B136" s="27" t="s">
        <v>25</v>
      </c>
      <c r="C136" s="48">
        <f>ROUND(255-((255-C139)*F136),0)</f>
        <v>206</v>
      </c>
      <c r="D136" s="48">
        <f>ROUND(255-((255-D139)*F136),0)</f>
        <v>229</v>
      </c>
      <c r="E136" s="48">
        <f>ROUND(255-((255-E139)*F136),0)</f>
        <v>239</v>
      </c>
      <c r="F136" s="47">
        <v>0.25</v>
      </c>
      <c r="H136" s="48" t="str">
        <f t="shared" ref="H136" si="279">LOWER(_xlfn.CONCAT("    --",B135,"-",B136,": rgba(",C136,", ",D136,", ",E136,", ","1.00",");"))</f>
        <v xml:space="preserve">    --b6-lightest: rgba(206, 229, 239, 1.00);</v>
      </c>
      <c r="I136" s="48" t="str">
        <f t="shared" ref="I136" si="280">LOWER(_xlfn.CONCAT("  .color-",B135,"-",B136,"{","color: var(--",B135,"-",B136,");","}"))</f>
        <v xml:space="preserve">  .color-b6-lightest{color: var(--b6-lightest);}</v>
      </c>
      <c r="J136" s="48" t="str">
        <f t="shared" ref="J136" si="281">LOWER(_xlfn.CONCAT("  .bg-",B135,"-",B136,"{","background-color: var(--",B135,"-",B136,");","}"))</f>
        <v xml:space="preserve">  .bg-b6-lightest{background-color: var(--b6-lightest);}</v>
      </c>
    </row>
    <row r="137" spans="2:10" x14ac:dyDescent="0.45">
      <c r="B137" s="27" t="s">
        <v>26</v>
      </c>
      <c r="C137" s="48">
        <f>ROUND(255-((255-C139)*F137),0)</f>
        <v>156</v>
      </c>
      <c r="D137" s="48">
        <f>ROUND(255-((255-D139)*F137),0)</f>
        <v>204</v>
      </c>
      <c r="E137" s="48">
        <f>ROUND(255-((255-E139)*F137),0)</f>
        <v>223</v>
      </c>
      <c r="F137" s="47">
        <v>0.5</v>
      </c>
      <c r="H137" s="48" t="str">
        <f t="shared" ref="H137" si="282">LOWER(_xlfn.CONCAT("    --",B135,"-",B137,": rgba(",C137,", ",D137,", ",E137,", ","1.00",");"))</f>
        <v xml:space="preserve">    --b6-lighter: rgba(156, 204, 223, 1.00);</v>
      </c>
      <c r="I137" s="48" t="str">
        <f t="shared" ref="I137" si="283">LOWER(_xlfn.CONCAT("  .color-",B135,"-",B137,"{","color: var(--",B135,"-",B137,");","}"))</f>
        <v xml:space="preserve">  .color-b6-lighter{color: var(--b6-lighter);}</v>
      </c>
      <c r="J137" s="48" t="str">
        <f t="shared" ref="J137" si="284">LOWER(_xlfn.CONCAT("  .bg-",B135,"-",B137,"{","background-color: var(--",B135,"-",B137,");","}"))</f>
        <v xml:space="preserve">  .bg-b6-lighter{background-color: var(--b6-lighter);}</v>
      </c>
    </row>
    <row r="138" spans="2:10" x14ac:dyDescent="0.45">
      <c r="B138" s="27" t="s">
        <v>27</v>
      </c>
      <c r="C138" s="48">
        <f>ROUND(255-((255-C139)*F138),0)</f>
        <v>107</v>
      </c>
      <c r="D138" s="48">
        <f>ROUND(255-((255-D139)*F138),0)</f>
        <v>178</v>
      </c>
      <c r="E138" s="48">
        <f>ROUND(255-((255-E139)*F138),0)</f>
        <v>207</v>
      </c>
      <c r="F138" s="47">
        <v>0.75</v>
      </c>
      <c r="H138" s="48" t="str">
        <f t="shared" ref="H138" si="285">LOWER(_xlfn.CONCAT("    --",B135,"-",B138,": rgba(",C138,", ",D138,", ",E138,", ","1.00",");"))</f>
        <v xml:space="preserve">    --b6-light: rgba(107, 178, 207, 1.00);</v>
      </c>
      <c r="I138" s="48" t="str">
        <f t="shared" ref="I138" si="286">LOWER(_xlfn.CONCAT("  .color-",B135,"-",B138,"{","color: var(--",B135,"-",B138,");","}"))</f>
        <v xml:space="preserve">  .color-b6-light{color: var(--b6-light);}</v>
      </c>
      <c r="J138" s="48" t="str">
        <f t="shared" ref="J138" si="287">LOWER(_xlfn.CONCAT("  .bg-",B135,"-",B138,"{","background-color: var(--",B135,"-",B138,");","}"))</f>
        <v xml:space="preserve">  .bg-b6-light{background-color: var(--b6-light);}</v>
      </c>
    </row>
    <row r="139" spans="2:10" x14ac:dyDescent="0.45">
      <c r="B139" s="27" t="s">
        <v>28</v>
      </c>
      <c r="C139" s="50">
        <f>VLOOKUP(B135,$B$3:$E$21,2,FALSE)</f>
        <v>57</v>
      </c>
      <c r="D139" s="50">
        <f>VLOOKUP(B135,$B$3:$E$21,3,FALSE)</f>
        <v>152</v>
      </c>
      <c r="E139" s="50">
        <f>VLOOKUP(B135,$B$3:$E$21,4,FALSE)</f>
        <v>191</v>
      </c>
      <c r="F139" s="47">
        <v>0</v>
      </c>
      <c r="H139" s="48" t="str">
        <f t="shared" ref="H139" si="288">LOWER(_xlfn.CONCAT("    --",B135,"-",B139,": rgba(",C139,", ",D139,", ",E139,", ","1.00",");"))</f>
        <v xml:space="preserve">    --b6-normal: rgba(57, 152, 191, 1.00);</v>
      </c>
      <c r="I139" s="48" t="str">
        <f t="shared" ref="I139" si="289">LOWER(_xlfn.CONCAT("  .color-",B135,"-",B139,"{","color: var(--",B135,"-",B139,");","}"))</f>
        <v xml:space="preserve">  .color-b6-normal{color: var(--b6-normal);}</v>
      </c>
      <c r="J139" s="48" t="str">
        <f t="shared" ref="J139" si="290">LOWER(_xlfn.CONCAT("  .bg-",B135,"-",B139,"{","background-color: var(--",B135,"-",B139,");","}"))</f>
        <v xml:space="preserve">  .bg-b6-normal{background-color: var(--b6-normal);}</v>
      </c>
    </row>
    <row r="140" spans="2:10" x14ac:dyDescent="0.45">
      <c r="B140" s="27" t="s">
        <v>29</v>
      </c>
      <c r="C140" s="48">
        <f>ROUND(C139*(1+F140),0)</f>
        <v>43</v>
      </c>
      <c r="D140" s="48">
        <f>ROUND(D139*(1+F140),0)</f>
        <v>114</v>
      </c>
      <c r="E140" s="48">
        <f>ROUND(E139*(1+F140),0)</f>
        <v>143</v>
      </c>
      <c r="F140" s="47">
        <v>-0.25</v>
      </c>
      <c r="H140" s="48" t="str">
        <f t="shared" ref="H140" si="291">LOWER(_xlfn.CONCAT("    --",B135,"-",B140,": rgba(",C140,", ",D140,", ",E140,", ","1.00",");"))</f>
        <v xml:space="preserve">    --b6-dark: rgba(43, 114, 143, 1.00);</v>
      </c>
      <c r="I140" s="48" t="str">
        <f t="shared" ref="I140" si="292">LOWER(_xlfn.CONCAT("  .color-",B135,"-",B140,"{","color: var(--",B135,"-",B140,");","}"))</f>
        <v xml:space="preserve">  .color-b6-dark{color: var(--b6-dark);}</v>
      </c>
      <c r="J140" s="48" t="str">
        <f t="shared" ref="J140" si="293">LOWER(_xlfn.CONCAT("  .bg-",B135,"-",B140,"{","background-color: var(--",B135,"-",B140,");","}"))</f>
        <v xml:space="preserve">  .bg-b6-dark{background-color: var(--b6-dark);}</v>
      </c>
    </row>
    <row r="141" spans="2:10" x14ac:dyDescent="0.45">
      <c r="B141" s="27" t="s">
        <v>30</v>
      </c>
      <c r="C141" s="48">
        <f>ROUND(C139*(1+F141),0)</f>
        <v>29</v>
      </c>
      <c r="D141" s="48">
        <f>ROUND(D139*(1+F141),0)</f>
        <v>76</v>
      </c>
      <c r="E141" s="48">
        <f>ROUND(E139*(1+F141),0)</f>
        <v>96</v>
      </c>
      <c r="F141" s="47">
        <v>-0.5</v>
      </c>
      <c r="H141" s="48" t="str">
        <f t="shared" ref="H141" si="294">LOWER(_xlfn.CONCAT("    --",B135,"-",B141,": rgba(",C141,", ",D141,", ",E141,", ","1.00",");"))</f>
        <v xml:space="preserve">    --b6-darker: rgba(29, 76, 96, 1.00);</v>
      </c>
      <c r="I141" s="48" t="str">
        <f t="shared" ref="I141" si="295">LOWER(_xlfn.CONCAT("  .color-",B135,"-",B141,"{","color: var(--",B135,"-",B141,");","}"))</f>
        <v xml:space="preserve">  .color-b6-darker{color: var(--b6-darker);}</v>
      </c>
      <c r="J141" s="48" t="str">
        <f t="shared" ref="J141" si="296">LOWER(_xlfn.CONCAT("  .bg-",B135,"-",B141,"{","background-color: var(--",B135,"-",B141,");","}"))</f>
        <v xml:space="preserve">  .bg-b6-darker{background-color: var(--b6-darker);}</v>
      </c>
    </row>
    <row r="142" spans="2:10" x14ac:dyDescent="0.45">
      <c r="B142" s="27" t="s">
        <v>31</v>
      </c>
      <c r="C142" s="48">
        <f>ROUND(C139*(1+F142),0)</f>
        <v>14</v>
      </c>
      <c r="D142" s="48">
        <f>ROUND(D139*(1+F142),0)</f>
        <v>38</v>
      </c>
      <c r="E142" s="48">
        <f>ROUND(E139*(1+F142),0)</f>
        <v>48</v>
      </c>
      <c r="F142" s="47">
        <v>-0.75</v>
      </c>
      <c r="H142" s="48" t="str">
        <f t="shared" ref="H142" si="297">LOWER(_xlfn.CONCAT("    --",B135,"-",B142,": rgba(",C142,", ",D142,", ",E142,", ","1.00",");"))</f>
        <v xml:space="preserve">    --b6-darkest: rgba(14, 38, 48, 1.00);</v>
      </c>
      <c r="I142" s="48" t="str">
        <f t="shared" ref="I142" si="298">LOWER(_xlfn.CONCAT("  .color-",B135,"-",B142,"{","color: var(--",B135,"-",B142,");","}"))</f>
        <v xml:space="preserve">  .color-b6-darkest{color: var(--b6-darkest);}</v>
      </c>
      <c r="J142" s="48" t="str">
        <f t="shared" ref="J142" si="299">LOWER(_xlfn.CONCAT("  .bg-",B135,"-",B142,"{","background-color: var(--",B135,"-",B142,");","}"))</f>
        <v xml:space="preserve">  .bg-b6-darkest{background-color: var(--b6-darkest);}</v>
      </c>
    </row>
    <row r="143" spans="2:10" x14ac:dyDescent="0.45">
      <c r="B143" s="46" t="s">
        <v>53</v>
      </c>
      <c r="C143" s="49" t="s">
        <v>33</v>
      </c>
      <c r="D143" s="49" t="s">
        <v>34</v>
      </c>
      <c r="E143" s="49" t="s">
        <v>35</v>
      </c>
      <c r="F143" s="49" t="s">
        <v>36</v>
      </c>
      <c r="H143" s="49"/>
      <c r="I143" s="49"/>
      <c r="J143" s="49"/>
    </row>
    <row r="144" spans="2:10" x14ac:dyDescent="0.45">
      <c r="B144" s="27" t="s">
        <v>25</v>
      </c>
      <c r="C144" s="48">
        <f>ROUND(255-((255-C147)*F144),0)</f>
        <v>209</v>
      </c>
      <c r="D144" s="48">
        <f>ROUND(255-((255-D147)*F144),0)</f>
        <v>219</v>
      </c>
      <c r="E144" s="48">
        <f>ROUND(255-((255-E147)*F144),0)</f>
        <v>247</v>
      </c>
      <c r="F144" s="47">
        <v>0.25</v>
      </c>
      <c r="H144" s="48" t="str">
        <f t="shared" ref="H144" si="300">LOWER(_xlfn.CONCAT("    --",B143,"-",B144,": rgba(",C144,", ",D144,", ",E144,", ","1.00",");"))</f>
        <v xml:space="preserve">    --b7-lightest: rgba(209, 219, 247, 1.00);</v>
      </c>
      <c r="I144" s="48" t="str">
        <f t="shared" ref="I144" si="301">LOWER(_xlfn.CONCAT("  .color-",B143,"-",B144,"{","color: var(--",B143,"-",B144,");","}"))</f>
        <v xml:space="preserve">  .color-b7-lightest{color: var(--b7-lightest);}</v>
      </c>
      <c r="J144" s="48" t="str">
        <f t="shared" ref="J144" si="302">LOWER(_xlfn.CONCAT("  .bg-",B143,"-",B144,"{","background-color: var(--",B143,"-",B144,");","}"))</f>
        <v xml:space="preserve">  .bg-b7-lightest{background-color: var(--b7-lightest);}</v>
      </c>
    </row>
    <row r="145" spans="2:10" x14ac:dyDescent="0.45">
      <c r="B145" s="27" t="s">
        <v>26</v>
      </c>
      <c r="C145" s="48">
        <f>ROUND(255-((255-C147)*F145),0)</f>
        <v>163</v>
      </c>
      <c r="D145" s="48">
        <f>ROUND(255-((255-D147)*F145),0)</f>
        <v>182</v>
      </c>
      <c r="E145" s="48">
        <f>ROUND(255-((255-E147)*F145),0)</f>
        <v>238</v>
      </c>
      <c r="F145" s="47">
        <v>0.5</v>
      </c>
      <c r="H145" s="48" t="str">
        <f t="shared" ref="H145" si="303">LOWER(_xlfn.CONCAT("    --",B143,"-",B145,": rgba(",C145,", ",D145,", ",E145,", ","1.00",");"))</f>
        <v xml:space="preserve">    --b7-lighter: rgba(163, 182, 238, 1.00);</v>
      </c>
      <c r="I145" s="48" t="str">
        <f t="shared" ref="I145" si="304">LOWER(_xlfn.CONCAT("  .color-",B143,"-",B145,"{","color: var(--",B143,"-",B145,");","}"))</f>
        <v xml:space="preserve">  .color-b7-lighter{color: var(--b7-lighter);}</v>
      </c>
      <c r="J145" s="48" t="str">
        <f t="shared" ref="J145" si="305">LOWER(_xlfn.CONCAT("  .bg-",B143,"-",B145,"{","background-color: var(--",B143,"-",B145,");","}"))</f>
        <v xml:space="preserve">  .bg-b7-lighter{background-color: var(--b7-lighter);}</v>
      </c>
    </row>
    <row r="146" spans="2:10" x14ac:dyDescent="0.45">
      <c r="B146" s="27" t="s">
        <v>27</v>
      </c>
      <c r="C146" s="48">
        <f>ROUND(255-((255-C147)*F146),0)</f>
        <v>116</v>
      </c>
      <c r="D146" s="48">
        <f>ROUND(255-((255-D147)*F146),0)</f>
        <v>146</v>
      </c>
      <c r="E146" s="48">
        <f>ROUND(255-((255-E147)*F146),0)</f>
        <v>230</v>
      </c>
      <c r="F146" s="47">
        <v>0.75</v>
      </c>
      <c r="H146" s="48" t="str">
        <f t="shared" ref="H146" si="306">LOWER(_xlfn.CONCAT("    --",B143,"-",B146,": rgba(",C146,", ",D146,", ",E146,", ","1.00",");"))</f>
        <v xml:space="preserve">    --b7-light: rgba(116, 146, 230, 1.00);</v>
      </c>
      <c r="I146" s="48" t="str">
        <f t="shared" ref="I146" si="307">LOWER(_xlfn.CONCAT("  .color-",B143,"-",B146,"{","color: var(--",B143,"-",B146,");","}"))</f>
        <v xml:space="preserve">  .color-b7-light{color: var(--b7-light);}</v>
      </c>
      <c r="J146" s="48" t="str">
        <f t="shared" ref="J146" si="308">LOWER(_xlfn.CONCAT("  .bg-",B143,"-",B146,"{","background-color: var(--",B143,"-",B146,");","}"))</f>
        <v xml:space="preserve">  .bg-b7-light{background-color: var(--b7-light);}</v>
      </c>
    </row>
    <row r="147" spans="2:10" x14ac:dyDescent="0.45">
      <c r="B147" s="27" t="s">
        <v>28</v>
      </c>
      <c r="C147" s="50">
        <f>VLOOKUP(B143,$B$3:$E$21,2,FALSE)</f>
        <v>70</v>
      </c>
      <c r="D147" s="50">
        <f>VLOOKUP(B143,$B$3:$E$21,3,FALSE)</f>
        <v>109</v>
      </c>
      <c r="E147" s="50">
        <f>VLOOKUP(B143,$B$3:$E$21,4,FALSE)</f>
        <v>221</v>
      </c>
      <c r="F147" s="47">
        <v>0</v>
      </c>
      <c r="H147" s="48" t="str">
        <f t="shared" ref="H147" si="309">LOWER(_xlfn.CONCAT("    --",B143,"-",B147,": rgba(",C147,", ",D147,", ",E147,", ","1.00",");"))</f>
        <v xml:space="preserve">    --b7-normal: rgba(70, 109, 221, 1.00);</v>
      </c>
      <c r="I147" s="48" t="str">
        <f t="shared" ref="I147" si="310">LOWER(_xlfn.CONCAT("  .color-",B143,"-",B147,"{","color: var(--",B143,"-",B147,");","}"))</f>
        <v xml:space="preserve">  .color-b7-normal{color: var(--b7-normal);}</v>
      </c>
      <c r="J147" s="48" t="str">
        <f t="shared" ref="J147" si="311">LOWER(_xlfn.CONCAT("  .bg-",B143,"-",B147,"{","background-color: var(--",B143,"-",B147,");","}"))</f>
        <v xml:space="preserve">  .bg-b7-normal{background-color: var(--b7-normal);}</v>
      </c>
    </row>
    <row r="148" spans="2:10" x14ac:dyDescent="0.45">
      <c r="B148" s="27" t="s">
        <v>29</v>
      </c>
      <c r="C148" s="48">
        <f>ROUND(C147*(1+F148),0)</f>
        <v>53</v>
      </c>
      <c r="D148" s="48">
        <f>ROUND(D147*(1+F148),0)</f>
        <v>82</v>
      </c>
      <c r="E148" s="48">
        <f>ROUND(E147*(1+F148),0)</f>
        <v>166</v>
      </c>
      <c r="F148" s="47">
        <v>-0.25</v>
      </c>
      <c r="H148" s="48" t="str">
        <f t="shared" ref="H148" si="312">LOWER(_xlfn.CONCAT("    --",B143,"-",B148,": rgba(",C148,", ",D148,", ",E148,", ","1.00",");"))</f>
        <v xml:space="preserve">    --b7-dark: rgba(53, 82, 166, 1.00);</v>
      </c>
      <c r="I148" s="48" t="str">
        <f t="shared" ref="I148" si="313">LOWER(_xlfn.CONCAT("  .color-",B143,"-",B148,"{","color: var(--",B143,"-",B148,");","}"))</f>
        <v xml:space="preserve">  .color-b7-dark{color: var(--b7-dark);}</v>
      </c>
      <c r="J148" s="48" t="str">
        <f t="shared" ref="J148" si="314">LOWER(_xlfn.CONCAT("  .bg-",B143,"-",B148,"{","background-color: var(--",B143,"-",B148,");","}"))</f>
        <v xml:space="preserve">  .bg-b7-dark{background-color: var(--b7-dark);}</v>
      </c>
    </row>
    <row r="149" spans="2:10" x14ac:dyDescent="0.45">
      <c r="B149" s="27" t="s">
        <v>30</v>
      </c>
      <c r="C149" s="48">
        <f>ROUND(C147*(1+F149),0)</f>
        <v>35</v>
      </c>
      <c r="D149" s="48">
        <f>ROUND(D147*(1+F149),0)</f>
        <v>55</v>
      </c>
      <c r="E149" s="48">
        <f>ROUND(E147*(1+F149),0)</f>
        <v>111</v>
      </c>
      <c r="F149" s="47">
        <v>-0.5</v>
      </c>
      <c r="H149" s="48" t="str">
        <f t="shared" ref="H149" si="315">LOWER(_xlfn.CONCAT("    --",B143,"-",B149,": rgba(",C149,", ",D149,", ",E149,", ","1.00",");"))</f>
        <v xml:space="preserve">    --b7-darker: rgba(35, 55, 111, 1.00);</v>
      </c>
      <c r="I149" s="48" t="str">
        <f t="shared" ref="I149" si="316">LOWER(_xlfn.CONCAT("  .color-",B143,"-",B149,"{","color: var(--",B143,"-",B149,");","}"))</f>
        <v xml:space="preserve">  .color-b7-darker{color: var(--b7-darker);}</v>
      </c>
      <c r="J149" s="48" t="str">
        <f t="shared" ref="J149" si="317">LOWER(_xlfn.CONCAT("  .bg-",B143,"-",B149,"{","background-color: var(--",B143,"-",B149,");","}"))</f>
        <v xml:space="preserve">  .bg-b7-darker{background-color: var(--b7-darker);}</v>
      </c>
    </row>
    <row r="150" spans="2:10" x14ac:dyDescent="0.45">
      <c r="B150" s="27" t="s">
        <v>31</v>
      </c>
      <c r="C150" s="48">
        <f>ROUND(C147*(1+F150),0)</f>
        <v>18</v>
      </c>
      <c r="D150" s="48">
        <f>ROUND(D147*(1+F150),0)</f>
        <v>27</v>
      </c>
      <c r="E150" s="48">
        <f>ROUND(E147*(1+F150),0)</f>
        <v>55</v>
      </c>
      <c r="F150" s="47">
        <v>-0.75</v>
      </c>
      <c r="H150" s="48" t="str">
        <f t="shared" ref="H150" si="318">LOWER(_xlfn.CONCAT("    --",B143,"-",B150,": rgba(",C150,", ",D150,", ",E150,", ","1.00",");"))</f>
        <v xml:space="preserve">    --b7-darkest: rgba(18, 27, 55, 1.00);</v>
      </c>
      <c r="I150" s="48" t="str">
        <f t="shared" ref="I150" si="319">LOWER(_xlfn.CONCAT("  .color-",B143,"-",B150,"{","color: var(--",B143,"-",B150,");","}"))</f>
        <v xml:space="preserve">  .color-b7-darkest{color: var(--b7-darkest);}</v>
      </c>
      <c r="J150" s="48" t="str">
        <f t="shared" ref="J150" si="320">LOWER(_xlfn.CONCAT("  .bg-",B143,"-",B150,"{","background-color: var(--",B143,"-",B150,");","}"))</f>
        <v xml:space="preserve">  .bg-b7-darkest{background-color: var(--b7-darkest);}</v>
      </c>
    </row>
    <row r="151" spans="2:10" x14ac:dyDescent="0.45">
      <c r="B151" s="46" t="s">
        <v>54</v>
      </c>
      <c r="C151" s="49" t="s">
        <v>33</v>
      </c>
      <c r="D151" s="49" t="s">
        <v>34</v>
      </c>
      <c r="E151" s="49" t="s">
        <v>35</v>
      </c>
      <c r="F151" s="49" t="s">
        <v>36</v>
      </c>
      <c r="H151" s="49"/>
      <c r="I151" s="49"/>
      <c r="J151" s="49"/>
    </row>
    <row r="152" spans="2:10" x14ac:dyDescent="0.45">
      <c r="B152" s="27" t="s">
        <v>25</v>
      </c>
      <c r="C152" s="48">
        <f>ROUND(255-((255-C155)*F152),0)</f>
        <v>226</v>
      </c>
      <c r="D152" s="48">
        <f>ROUND(255-((255-D155)*F152),0)</f>
        <v>217</v>
      </c>
      <c r="E152" s="48">
        <f>ROUND(255-((255-E155)*F152),0)</f>
        <v>232</v>
      </c>
      <c r="F152" s="47">
        <v>0.25</v>
      </c>
      <c r="H152" s="48" t="str">
        <f t="shared" ref="H152" si="321">LOWER(_xlfn.CONCAT("    --",B151,"-",B152,": rgba(",C152,", ",D152,", ",E152,", ","1.00",");"))</f>
        <v xml:space="preserve">    --b8-lightest: rgba(226, 217, 232, 1.00);</v>
      </c>
      <c r="I152" s="48" t="str">
        <f t="shared" ref="I152" si="322">LOWER(_xlfn.CONCAT("  .color-",B151,"-",B152,"{","color: var(--",B151,"-",B152,");","}"))</f>
        <v xml:space="preserve">  .color-b8-lightest{color: var(--b8-lightest);}</v>
      </c>
      <c r="J152" s="48" t="str">
        <f t="shared" ref="J152" si="323">LOWER(_xlfn.CONCAT("  .bg-",B151,"-",B152,"{","background-color: var(--",B151,"-",B152,");","}"))</f>
        <v xml:space="preserve">  .bg-b8-lightest{background-color: var(--b8-lightest);}</v>
      </c>
    </row>
    <row r="153" spans="2:10" x14ac:dyDescent="0.45">
      <c r="B153" s="27" t="s">
        <v>26</v>
      </c>
      <c r="C153" s="48">
        <f>ROUND(255-((255-C155)*F153),0)</f>
        <v>197</v>
      </c>
      <c r="D153" s="48">
        <f>ROUND(255-((255-D155)*F153),0)</f>
        <v>178</v>
      </c>
      <c r="E153" s="48">
        <f>ROUND(255-((255-E155)*F153),0)</f>
        <v>208</v>
      </c>
      <c r="F153" s="47">
        <v>0.5</v>
      </c>
      <c r="H153" s="48" t="str">
        <f t="shared" ref="H153" si="324">LOWER(_xlfn.CONCAT("    --",B151,"-",B153,": rgba(",C153,", ",D153,", ",E153,", ","1.00",");"))</f>
        <v xml:space="preserve">    --b8-lighter: rgba(197, 178, 208, 1.00);</v>
      </c>
      <c r="I153" s="48" t="str">
        <f t="shared" ref="I153" si="325">LOWER(_xlfn.CONCAT("  .color-",B151,"-",B153,"{","color: var(--",B151,"-",B153,");","}"))</f>
        <v xml:space="preserve">  .color-b8-lighter{color: var(--b8-lighter);}</v>
      </c>
      <c r="J153" s="48" t="str">
        <f t="shared" ref="J153" si="326">LOWER(_xlfn.CONCAT("  .bg-",B151,"-",B153,"{","background-color: var(--",B151,"-",B153,");","}"))</f>
        <v xml:space="preserve">  .bg-b8-lighter{background-color: var(--b8-lighter);}</v>
      </c>
    </row>
    <row r="154" spans="2:10" x14ac:dyDescent="0.45">
      <c r="B154" s="27" t="s">
        <v>27</v>
      </c>
      <c r="C154" s="48">
        <f>ROUND(255-((255-C155)*F154),0)</f>
        <v>167</v>
      </c>
      <c r="D154" s="48">
        <f>ROUND(255-((255-D155)*F154),0)</f>
        <v>140</v>
      </c>
      <c r="E154" s="48">
        <f>ROUND(255-((255-E155)*F154),0)</f>
        <v>185</v>
      </c>
      <c r="F154" s="47">
        <v>0.75</v>
      </c>
      <c r="H154" s="48" t="str">
        <f t="shared" ref="H154" si="327">LOWER(_xlfn.CONCAT("    --",B151,"-",B154,": rgba(",C154,", ",D154,", ",E154,", ","1.00",");"))</f>
        <v xml:space="preserve">    --b8-light: rgba(167, 140, 185, 1.00);</v>
      </c>
      <c r="I154" s="48" t="str">
        <f t="shared" ref="I154" si="328">LOWER(_xlfn.CONCAT("  .color-",B151,"-",B154,"{","color: var(--",B151,"-",B154,");","}"))</f>
        <v xml:space="preserve">  .color-b8-light{color: var(--b8-light);}</v>
      </c>
      <c r="J154" s="48" t="str">
        <f t="shared" ref="J154" si="329">LOWER(_xlfn.CONCAT("  .bg-",B151,"-",B154,"{","background-color: var(--",B151,"-",B154,");","}"))</f>
        <v xml:space="preserve">  .bg-b8-light{background-color: var(--b8-light);}</v>
      </c>
    </row>
    <row r="155" spans="2:10" x14ac:dyDescent="0.45">
      <c r="B155" s="27" t="s">
        <v>28</v>
      </c>
      <c r="C155" s="50">
        <f>VLOOKUP(B151,$B$3:$E$21,2,FALSE)</f>
        <v>138</v>
      </c>
      <c r="D155" s="50">
        <f>VLOOKUP(B151,$B$3:$E$21,3,FALSE)</f>
        <v>101</v>
      </c>
      <c r="E155" s="50">
        <f>VLOOKUP(B151,$B$3:$E$21,4,FALSE)</f>
        <v>161</v>
      </c>
      <c r="F155" s="47">
        <v>0</v>
      </c>
      <c r="H155" s="48" t="str">
        <f t="shared" ref="H155" si="330">LOWER(_xlfn.CONCAT("    --",B151,"-",B155,": rgba(",C155,", ",D155,", ",E155,", ","1.00",");"))</f>
        <v xml:space="preserve">    --b8-normal: rgba(138, 101, 161, 1.00);</v>
      </c>
      <c r="I155" s="48" t="str">
        <f t="shared" ref="I155" si="331">LOWER(_xlfn.CONCAT("  .color-",B151,"-",B155,"{","color: var(--",B151,"-",B155,");","}"))</f>
        <v xml:space="preserve">  .color-b8-normal{color: var(--b8-normal);}</v>
      </c>
      <c r="J155" s="48" t="str">
        <f t="shared" ref="J155" si="332">LOWER(_xlfn.CONCAT("  .bg-",B151,"-",B155,"{","background-color: var(--",B151,"-",B155,");","}"))</f>
        <v xml:space="preserve">  .bg-b8-normal{background-color: var(--b8-normal);}</v>
      </c>
    </row>
    <row r="156" spans="2:10" x14ac:dyDescent="0.45">
      <c r="B156" s="27" t="s">
        <v>29</v>
      </c>
      <c r="C156" s="48">
        <f>ROUND(C155*(1+F156),0)</f>
        <v>104</v>
      </c>
      <c r="D156" s="48">
        <f>ROUND(D155*(1+F156),0)</f>
        <v>76</v>
      </c>
      <c r="E156" s="48">
        <f>ROUND(E155*(1+F156),0)</f>
        <v>121</v>
      </c>
      <c r="F156" s="47">
        <v>-0.25</v>
      </c>
      <c r="H156" s="48" t="str">
        <f t="shared" ref="H156" si="333">LOWER(_xlfn.CONCAT("    --",B151,"-",B156,": rgba(",C156,", ",D156,", ",E156,", ","1.00",");"))</f>
        <v xml:space="preserve">    --b8-dark: rgba(104, 76, 121, 1.00);</v>
      </c>
      <c r="I156" s="48" t="str">
        <f t="shared" ref="I156" si="334">LOWER(_xlfn.CONCAT("  .color-",B151,"-",B156,"{","color: var(--",B151,"-",B156,");","}"))</f>
        <v xml:space="preserve">  .color-b8-dark{color: var(--b8-dark);}</v>
      </c>
      <c r="J156" s="48" t="str">
        <f t="shared" ref="J156" si="335">LOWER(_xlfn.CONCAT("  .bg-",B151,"-",B156,"{","background-color: var(--",B151,"-",B156,");","}"))</f>
        <v xml:space="preserve">  .bg-b8-dark{background-color: var(--b8-dark);}</v>
      </c>
    </row>
    <row r="157" spans="2:10" x14ac:dyDescent="0.45">
      <c r="B157" s="27" t="s">
        <v>30</v>
      </c>
      <c r="C157" s="48">
        <f>ROUND(C155*(1+F157),0)</f>
        <v>69</v>
      </c>
      <c r="D157" s="48">
        <f>ROUND(D155*(1+F157),0)</f>
        <v>51</v>
      </c>
      <c r="E157" s="48">
        <f>ROUND(E155*(1+F157),0)</f>
        <v>81</v>
      </c>
      <c r="F157" s="47">
        <v>-0.5</v>
      </c>
      <c r="H157" s="48" t="str">
        <f t="shared" ref="H157" si="336">LOWER(_xlfn.CONCAT("    --",B151,"-",B157,": rgba(",C157,", ",D157,", ",E157,", ","1.00",");"))</f>
        <v xml:space="preserve">    --b8-darker: rgba(69, 51, 81, 1.00);</v>
      </c>
      <c r="I157" s="48" t="str">
        <f t="shared" ref="I157" si="337">LOWER(_xlfn.CONCAT("  .color-",B151,"-",B157,"{","color: var(--",B151,"-",B157,");","}"))</f>
        <v xml:space="preserve">  .color-b8-darker{color: var(--b8-darker);}</v>
      </c>
      <c r="J157" s="48" t="str">
        <f t="shared" ref="J157" si="338">LOWER(_xlfn.CONCAT("  .bg-",B151,"-",B157,"{","background-color: var(--",B151,"-",B157,");","}"))</f>
        <v xml:space="preserve">  .bg-b8-darker{background-color: var(--b8-darker);}</v>
      </c>
    </row>
    <row r="158" spans="2:10" x14ac:dyDescent="0.45">
      <c r="B158" s="27" t="s">
        <v>31</v>
      </c>
      <c r="C158" s="48">
        <f>ROUND(C155*(1+F158),0)</f>
        <v>35</v>
      </c>
      <c r="D158" s="48">
        <f>ROUND(D155*(1+F158),0)</f>
        <v>25</v>
      </c>
      <c r="E158" s="48">
        <f>ROUND(E155*(1+F158),0)</f>
        <v>40</v>
      </c>
      <c r="F158" s="47">
        <v>-0.75</v>
      </c>
      <c r="H158" s="48" t="str">
        <f t="shared" ref="H158" si="339">LOWER(_xlfn.CONCAT("    --",B151,"-",B158,": rgba(",C158,", ",D158,", ",E158,", ","1.00",");"))</f>
        <v xml:space="preserve">    --b8-darkest: rgba(35, 25, 40, 1.00);</v>
      </c>
      <c r="I158" s="48" t="str">
        <f t="shared" ref="I158" si="340">LOWER(_xlfn.CONCAT("  .color-",B151,"-",B158,"{","color: var(--",B151,"-",B158,");","}"))</f>
        <v xml:space="preserve">  .color-b8-darkest{color: var(--b8-darkest);}</v>
      </c>
      <c r="J158" s="48" t="str">
        <f t="shared" ref="J158" si="341">LOWER(_xlfn.CONCAT("  .bg-",B151,"-",B158,"{","background-color: var(--",B151,"-",B158,");","}"))</f>
        <v xml:space="preserve">  .bg-b8-darkest{background-color: var(--b8-darkest);}</v>
      </c>
    </row>
    <row r="159" spans="2:10" x14ac:dyDescent="0.45">
      <c r="B159" s="46" t="s">
        <v>55</v>
      </c>
      <c r="C159" s="49" t="s">
        <v>33</v>
      </c>
      <c r="D159" s="49" t="s">
        <v>34</v>
      </c>
      <c r="E159" s="49" t="s">
        <v>35</v>
      </c>
      <c r="F159" s="49" t="s">
        <v>36</v>
      </c>
      <c r="H159" s="49"/>
      <c r="I159" s="49"/>
      <c r="J159" s="49"/>
    </row>
    <row r="160" spans="2:10" x14ac:dyDescent="0.45">
      <c r="B160" s="27" t="s">
        <v>25</v>
      </c>
      <c r="C160" s="48">
        <f>ROUND(255-((255-C163)*F160),0)</f>
        <v>232</v>
      </c>
      <c r="D160" s="48">
        <f>ROUND(255-((255-D163)*F160),0)</f>
        <v>218</v>
      </c>
      <c r="E160" s="48">
        <f>ROUND(255-((255-E163)*F160),0)</f>
        <v>224</v>
      </c>
      <c r="F160" s="47">
        <v>0.25</v>
      </c>
      <c r="H160" s="48" t="str">
        <f t="shared" ref="H160" si="342">LOWER(_xlfn.CONCAT("    --",B159,"-",B160,": rgba(",C160,", ",D160,", ",E160,", ","1.00",");"))</f>
        <v xml:space="preserve">    --b9-lightest: rgba(232, 218, 224, 1.00);</v>
      </c>
      <c r="I160" s="48" t="str">
        <f t="shared" ref="I160" si="343">LOWER(_xlfn.CONCAT("  .color-",B159,"-",B160,"{","color: var(--",B159,"-",B160,");","}"))</f>
        <v xml:space="preserve">  .color-b9-lightest{color: var(--b9-lightest);}</v>
      </c>
      <c r="J160" s="48" t="str">
        <f t="shared" ref="J160" si="344">LOWER(_xlfn.CONCAT("  .bg-",B159,"-",B160,"{","background-color: var(--",B159,"-",B160,");","}"))</f>
        <v xml:space="preserve">  .bg-b9-lightest{background-color: var(--b9-lightest);}</v>
      </c>
    </row>
    <row r="161" spans="2:10" x14ac:dyDescent="0.45">
      <c r="B161" s="27" t="s">
        <v>26</v>
      </c>
      <c r="C161" s="48">
        <f>ROUND(255-((255-C163)*F161),0)</f>
        <v>209</v>
      </c>
      <c r="D161" s="48">
        <f>ROUND(255-((255-D163)*F161),0)</f>
        <v>181</v>
      </c>
      <c r="E161" s="48">
        <f>ROUND(255-((255-E163)*F161),0)</f>
        <v>193</v>
      </c>
      <c r="F161" s="47">
        <v>0.5</v>
      </c>
      <c r="H161" s="48" t="str">
        <f t="shared" ref="H161" si="345">LOWER(_xlfn.CONCAT("    --",B159,"-",B161,": rgba(",C161,", ",D161,", ",E161,", ","1.00",");"))</f>
        <v xml:space="preserve">    --b9-lighter: rgba(209, 181, 193, 1.00);</v>
      </c>
      <c r="I161" s="48" t="str">
        <f t="shared" ref="I161" si="346">LOWER(_xlfn.CONCAT("  .color-",B159,"-",B161,"{","color: var(--",B159,"-",B161,");","}"))</f>
        <v xml:space="preserve">  .color-b9-lighter{color: var(--b9-lighter);}</v>
      </c>
      <c r="J161" s="48" t="str">
        <f t="shared" ref="J161" si="347">LOWER(_xlfn.CONCAT("  .bg-",B159,"-",B161,"{","background-color: var(--",B159,"-",B161,");","}"))</f>
        <v xml:space="preserve">  .bg-b9-lighter{background-color: var(--b9-lighter);}</v>
      </c>
    </row>
    <row r="162" spans="2:10" x14ac:dyDescent="0.45">
      <c r="B162" s="27" t="s">
        <v>27</v>
      </c>
      <c r="C162" s="48">
        <f>ROUND(255-((255-C163)*F162),0)</f>
        <v>186</v>
      </c>
      <c r="D162" s="48">
        <f>ROUND(255-((255-D163)*F162),0)</f>
        <v>143</v>
      </c>
      <c r="E162" s="48">
        <f>ROUND(255-((255-E163)*F162),0)</f>
        <v>162</v>
      </c>
      <c r="F162" s="47">
        <v>0.75</v>
      </c>
      <c r="H162" s="48" t="str">
        <f t="shared" ref="H162" si="348">LOWER(_xlfn.CONCAT("    --",B159,"-",B162,": rgba(",C162,", ",D162,", ",E162,", ","1.00",");"))</f>
        <v xml:space="preserve">    --b9-light: rgba(186, 143, 162, 1.00);</v>
      </c>
      <c r="I162" s="48" t="str">
        <f t="shared" ref="I162" si="349">LOWER(_xlfn.CONCAT("  .color-",B159,"-",B162,"{","color: var(--",B159,"-",B162,");","}"))</f>
        <v xml:space="preserve">  .color-b9-light{color: var(--b9-light);}</v>
      </c>
      <c r="J162" s="48" t="str">
        <f t="shared" ref="J162" si="350">LOWER(_xlfn.CONCAT("  .bg-",B159,"-",B162,"{","background-color: var(--",B159,"-",B162,");","}"))</f>
        <v xml:space="preserve">  .bg-b9-light{background-color: var(--b9-light);}</v>
      </c>
    </row>
    <row r="163" spans="2:10" x14ac:dyDescent="0.45">
      <c r="B163" s="27" t="s">
        <v>28</v>
      </c>
      <c r="C163" s="50">
        <f>VLOOKUP(B159,$B$3:$E$21,2,FALSE)</f>
        <v>163</v>
      </c>
      <c r="D163" s="50">
        <f>VLOOKUP(B159,$B$3:$E$21,3,FALSE)</f>
        <v>106</v>
      </c>
      <c r="E163" s="50">
        <f>VLOOKUP(B159,$B$3:$E$21,4,FALSE)</f>
        <v>131</v>
      </c>
      <c r="F163" s="47">
        <v>0</v>
      </c>
      <c r="H163" s="48" t="str">
        <f t="shared" ref="H163" si="351">LOWER(_xlfn.CONCAT("    --",B159,"-",B163,": rgba(",C163,", ",D163,", ",E163,", ","1.00",");"))</f>
        <v xml:space="preserve">    --b9-normal: rgba(163, 106, 131, 1.00);</v>
      </c>
      <c r="I163" s="48" t="str">
        <f t="shared" ref="I163" si="352">LOWER(_xlfn.CONCAT("  .color-",B159,"-",B163,"{","color: var(--",B159,"-",B163,");","}"))</f>
        <v xml:space="preserve">  .color-b9-normal{color: var(--b9-normal);}</v>
      </c>
      <c r="J163" s="48" t="str">
        <f t="shared" ref="J163" si="353">LOWER(_xlfn.CONCAT("  .bg-",B159,"-",B163,"{","background-color: var(--",B159,"-",B163,");","}"))</f>
        <v xml:space="preserve">  .bg-b9-normal{background-color: var(--b9-normal);}</v>
      </c>
    </row>
    <row r="164" spans="2:10" x14ac:dyDescent="0.45">
      <c r="B164" s="27" t="s">
        <v>29</v>
      </c>
      <c r="C164" s="48">
        <f>ROUND(C163*(1+F164),0)</f>
        <v>122</v>
      </c>
      <c r="D164" s="48">
        <f>ROUND(D163*(1+F164),0)</f>
        <v>80</v>
      </c>
      <c r="E164" s="48">
        <f>ROUND(E163*(1+F164),0)</f>
        <v>98</v>
      </c>
      <c r="F164" s="47">
        <v>-0.25</v>
      </c>
      <c r="H164" s="48" t="str">
        <f t="shared" ref="H164" si="354">LOWER(_xlfn.CONCAT("    --",B159,"-",B164,": rgba(",C164,", ",D164,", ",E164,", ","1.00",");"))</f>
        <v xml:space="preserve">    --b9-dark: rgba(122, 80, 98, 1.00);</v>
      </c>
      <c r="I164" s="48" t="str">
        <f t="shared" ref="I164" si="355">LOWER(_xlfn.CONCAT("  .color-",B159,"-",B164,"{","color: var(--",B159,"-",B164,");","}"))</f>
        <v xml:space="preserve">  .color-b9-dark{color: var(--b9-dark);}</v>
      </c>
      <c r="J164" s="48" t="str">
        <f t="shared" ref="J164" si="356">LOWER(_xlfn.CONCAT("  .bg-",B159,"-",B164,"{","background-color: var(--",B159,"-",B164,");","}"))</f>
        <v xml:space="preserve">  .bg-b9-dark{background-color: var(--b9-dark);}</v>
      </c>
    </row>
    <row r="165" spans="2:10" x14ac:dyDescent="0.45">
      <c r="B165" s="27" t="s">
        <v>30</v>
      </c>
      <c r="C165" s="48">
        <f>ROUND(C163*(1+F165),0)</f>
        <v>82</v>
      </c>
      <c r="D165" s="48">
        <f>ROUND(D163*(1+F165),0)</f>
        <v>53</v>
      </c>
      <c r="E165" s="48">
        <f>ROUND(E163*(1+F165),0)</f>
        <v>66</v>
      </c>
      <c r="F165" s="47">
        <v>-0.5</v>
      </c>
      <c r="H165" s="48" t="str">
        <f t="shared" ref="H165" si="357">LOWER(_xlfn.CONCAT("    --",B159,"-",B165,": rgba(",C165,", ",D165,", ",E165,", ","1.00",");"))</f>
        <v xml:space="preserve">    --b9-darker: rgba(82, 53, 66, 1.00);</v>
      </c>
      <c r="I165" s="48" t="str">
        <f t="shared" ref="I165" si="358">LOWER(_xlfn.CONCAT("  .color-",B159,"-",B165,"{","color: var(--",B159,"-",B165,");","}"))</f>
        <v xml:space="preserve">  .color-b9-darker{color: var(--b9-darker);}</v>
      </c>
      <c r="J165" s="48" t="str">
        <f t="shared" ref="J165" si="359">LOWER(_xlfn.CONCAT("  .bg-",B159,"-",B165,"{","background-color: var(--",B159,"-",B165,");","}"))</f>
        <v xml:space="preserve">  .bg-b9-darker{background-color: var(--b9-darker);}</v>
      </c>
    </row>
    <row r="166" spans="2:10" x14ac:dyDescent="0.45">
      <c r="B166" s="27" t="s">
        <v>31</v>
      </c>
      <c r="C166" s="48">
        <f>ROUND(C163*(1+F166),0)</f>
        <v>41</v>
      </c>
      <c r="D166" s="48">
        <f>ROUND(D163*(1+F166),0)</f>
        <v>27</v>
      </c>
      <c r="E166" s="48">
        <f>ROUND(E163*(1+F166),0)</f>
        <v>33</v>
      </c>
      <c r="F166" s="47">
        <v>-0.75</v>
      </c>
      <c r="H166" s="48" t="str">
        <f t="shared" ref="H166" si="360">LOWER(_xlfn.CONCAT("    --",B159,"-",B166,": rgba(",C166,", ",D166,", ",E166,", ","1.00",");"))</f>
        <v xml:space="preserve">    --b9-darkest: rgba(41, 27, 33, 1.00);</v>
      </c>
      <c r="I166" s="48" t="str">
        <f t="shared" ref="I166" si="361">LOWER(_xlfn.CONCAT("  .color-",B159,"-",B166,"{","color: var(--",B159,"-",B166,");","}"))</f>
        <v xml:space="preserve">  .color-b9-darkest{color: var(--b9-darkest);}</v>
      </c>
      <c r="J166" s="48" t="str">
        <f t="shared" ref="J166" si="362">LOWER(_xlfn.CONCAT("  .bg-",B159,"-",B166,"{","background-color: var(--",B159,"-",B166,");","}"))</f>
        <v xml:space="preserve">  .bg-b9-darkest{background-color: var(--b9-darkest);}</v>
      </c>
    </row>
  </sheetData>
  <mergeCells count="1">
    <mergeCell ref="G1:I1"/>
  </mergeCells>
  <phoneticPr fontId="3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4F2E-530A-430A-8A75-21530C62C997}">
  <sheetPr>
    <tabColor rgb="FFFFFF00"/>
  </sheetPr>
  <dimension ref="B1:S187"/>
  <sheetViews>
    <sheetView tabSelected="1" topLeftCell="K9" workbookViewId="0">
      <selection activeCell="R25" sqref="R25"/>
    </sheetView>
  </sheetViews>
  <sheetFormatPr defaultRowHeight="14.25" x14ac:dyDescent="0.45"/>
  <cols>
    <col min="1" max="1" width="3.59765625" customWidth="1"/>
    <col min="6" max="6" width="9.796875" bestFit="1" customWidth="1"/>
    <col min="7" max="7" width="6.59765625" bestFit="1" customWidth="1"/>
    <col min="8" max="8" width="38.796875" bestFit="1" customWidth="1"/>
    <col min="9" max="9" width="36.265625" bestFit="1" customWidth="1"/>
    <col min="10" max="10" width="25" bestFit="1" customWidth="1"/>
    <col min="11" max="13" width="25" customWidth="1"/>
    <col min="18" max="18" width="29.265625" bestFit="1" customWidth="1"/>
    <col min="19" max="19" width="18.59765625" bestFit="1" customWidth="1"/>
  </cols>
  <sheetData>
    <row r="1" spans="2:9" ht="14.65" thickBot="1" x14ac:dyDescent="0.5">
      <c r="G1" s="56" t="s">
        <v>56</v>
      </c>
      <c r="H1" s="56"/>
      <c r="I1" s="56"/>
    </row>
    <row r="2" spans="2:9" ht="14.65" thickBot="1" x14ac:dyDescent="0.5">
      <c r="G2" s="27" t="s">
        <v>37</v>
      </c>
      <c r="H2" s="46">
        <v>400</v>
      </c>
    </row>
    <row r="3" spans="2:9" ht="14.65" thickBot="1" x14ac:dyDescent="0.5">
      <c r="B3" t="s">
        <v>32</v>
      </c>
      <c r="C3" t="s">
        <v>33</v>
      </c>
      <c r="D3" t="s">
        <v>34</v>
      </c>
      <c r="E3" t="s">
        <v>35</v>
      </c>
      <c r="G3" s="52" t="s">
        <v>33</v>
      </c>
      <c r="H3" s="52" t="s">
        <v>34</v>
      </c>
      <c r="I3" s="52" t="s">
        <v>35</v>
      </c>
    </row>
    <row r="4" spans="2:9" x14ac:dyDescent="0.45">
      <c r="B4" t="s">
        <v>38</v>
      </c>
      <c r="C4">
        <v>239</v>
      </c>
      <c r="D4">
        <v>161</v>
      </c>
      <c r="E4">
        <v>170</v>
      </c>
      <c r="G4" s="48">
        <f>ROUND(C4/SUM($C4:$E4)*$H$2,0)</f>
        <v>168</v>
      </c>
      <c r="H4" s="48">
        <f t="shared" ref="H4:I19" si="0">ROUND(D4/SUM($C4:$E4)*$H$2,0)</f>
        <v>113</v>
      </c>
      <c r="I4" s="48">
        <f t="shared" si="0"/>
        <v>119</v>
      </c>
    </row>
    <row r="5" spans="2:9" x14ac:dyDescent="0.45">
      <c r="B5" t="s">
        <v>39</v>
      </c>
      <c r="C5">
        <v>239</v>
      </c>
      <c r="D5">
        <v>180</v>
      </c>
      <c r="E5">
        <v>161</v>
      </c>
      <c r="G5" s="48">
        <f t="shared" ref="G5:I20" si="1">ROUND(C5/SUM($C5:$E5)*$H$2,0)</f>
        <v>165</v>
      </c>
      <c r="H5" s="48">
        <f t="shared" si="0"/>
        <v>124</v>
      </c>
      <c r="I5" s="48">
        <f t="shared" si="0"/>
        <v>111</v>
      </c>
    </row>
    <row r="6" spans="2:9" x14ac:dyDescent="0.45">
      <c r="B6" t="s">
        <v>40</v>
      </c>
      <c r="C6">
        <v>239</v>
      </c>
      <c r="D6">
        <v>217</v>
      </c>
      <c r="E6">
        <v>161</v>
      </c>
      <c r="G6" s="48">
        <f t="shared" si="1"/>
        <v>155</v>
      </c>
      <c r="H6" s="48">
        <f t="shared" si="0"/>
        <v>141</v>
      </c>
      <c r="I6" s="48">
        <f t="shared" si="0"/>
        <v>104</v>
      </c>
    </row>
    <row r="7" spans="2:9" x14ac:dyDescent="0.45">
      <c r="B7" t="s">
        <v>41</v>
      </c>
      <c r="C7">
        <v>239</v>
      </c>
      <c r="D7">
        <v>235</v>
      </c>
      <c r="E7">
        <v>161</v>
      </c>
      <c r="G7" s="48">
        <f t="shared" si="1"/>
        <v>151</v>
      </c>
      <c r="H7" s="48">
        <f t="shared" si="0"/>
        <v>148</v>
      </c>
      <c r="I7" s="48">
        <f t="shared" si="0"/>
        <v>101</v>
      </c>
    </row>
    <row r="8" spans="2:9" x14ac:dyDescent="0.45">
      <c r="B8" t="s">
        <v>42</v>
      </c>
      <c r="C8">
        <v>189</v>
      </c>
      <c r="D8">
        <v>239</v>
      </c>
      <c r="E8">
        <v>161</v>
      </c>
      <c r="G8" s="48">
        <f t="shared" si="1"/>
        <v>128</v>
      </c>
      <c r="H8" s="48">
        <f t="shared" si="0"/>
        <v>162</v>
      </c>
      <c r="I8" s="48">
        <f t="shared" si="0"/>
        <v>109</v>
      </c>
    </row>
    <row r="9" spans="2:9" x14ac:dyDescent="0.45">
      <c r="B9" t="s">
        <v>43</v>
      </c>
      <c r="C9">
        <v>161</v>
      </c>
      <c r="D9">
        <v>222</v>
      </c>
      <c r="E9">
        <v>239</v>
      </c>
      <c r="G9" s="48">
        <f t="shared" si="1"/>
        <v>104</v>
      </c>
      <c r="H9" s="48">
        <f t="shared" si="0"/>
        <v>143</v>
      </c>
      <c r="I9" s="48">
        <f t="shared" si="0"/>
        <v>154</v>
      </c>
    </row>
    <row r="10" spans="2:9" x14ac:dyDescent="0.45">
      <c r="B10" t="s">
        <v>44</v>
      </c>
      <c r="C10">
        <v>161</v>
      </c>
      <c r="D10">
        <v>207</v>
      </c>
      <c r="E10">
        <v>239</v>
      </c>
      <c r="G10" s="48">
        <f t="shared" si="1"/>
        <v>106</v>
      </c>
      <c r="H10" s="48">
        <f t="shared" si="0"/>
        <v>136</v>
      </c>
      <c r="I10" s="48">
        <f t="shared" si="0"/>
        <v>157</v>
      </c>
    </row>
    <row r="11" spans="2:9" x14ac:dyDescent="0.45">
      <c r="B11" t="s">
        <v>45</v>
      </c>
      <c r="C11">
        <v>161</v>
      </c>
      <c r="D11">
        <v>180</v>
      </c>
      <c r="E11">
        <v>239</v>
      </c>
      <c r="G11" s="48">
        <f t="shared" si="1"/>
        <v>111</v>
      </c>
      <c r="H11" s="48">
        <f t="shared" si="0"/>
        <v>124</v>
      </c>
      <c r="I11" s="48">
        <f t="shared" si="0"/>
        <v>165</v>
      </c>
    </row>
    <row r="12" spans="2:9" x14ac:dyDescent="0.45">
      <c r="B12" t="s">
        <v>46</v>
      </c>
      <c r="C12">
        <v>180</v>
      </c>
      <c r="D12">
        <v>161</v>
      </c>
      <c r="E12">
        <v>239</v>
      </c>
      <c r="G12" s="48">
        <f t="shared" si="1"/>
        <v>124</v>
      </c>
      <c r="H12" s="48">
        <f t="shared" si="0"/>
        <v>111</v>
      </c>
      <c r="I12" s="48">
        <f t="shared" si="0"/>
        <v>165</v>
      </c>
    </row>
    <row r="13" spans="2:9" x14ac:dyDescent="0.45">
      <c r="B13" t="s">
        <v>47</v>
      </c>
      <c r="C13">
        <v>245</v>
      </c>
      <c r="D13">
        <v>115</v>
      </c>
      <c r="E13">
        <v>130</v>
      </c>
      <c r="G13" s="48">
        <f t="shared" si="1"/>
        <v>200</v>
      </c>
      <c r="H13" s="48">
        <f t="shared" si="0"/>
        <v>94</v>
      </c>
      <c r="I13" s="48">
        <f t="shared" si="0"/>
        <v>106</v>
      </c>
    </row>
    <row r="14" spans="2:9" x14ac:dyDescent="0.45">
      <c r="B14" t="s">
        <v>48</v>
      </c>
      <c r="C14">
        <v>245</v>
      </c>
      <c r="D14">
        <v>146</v>
      </c>
      <c r="E14">
        <v>115</v>
      </c>
      <c r="G14" s="48">
        <f t="shared" si="1"/>
        <v>194</v>
      </c>
      <c r="H14" s="48">
        <f t="shared" si="0"/>
        <v>115</v>
      </c>
      <c r="I14" s="48">
        <f t="shared" si="0"/>
        <v>91</v>
      </c>
    </row>
    <row r="15" spans="2:9" x14ac:dyDescent="0.45">
      <c r="B15" t="s">
        <v>49</v>
      </c>
      <c r="C15">
        <v>245</v>
      </c>
      <c r="D15">
        <v>208</v>
      </c>
      <c r="E15">
        <v>115</v>
      </c>
      <c r="G15" s="48">
        <f t="shared" si="1"/>
        <v>173</v>
      </c>
      <c r="H15" s="48">
        <f t="shared" si="0"/>
        <v>146</v>
      </c>
      <c r="I15" s="48">
        <f t="shared" si="0"/>
        <v>81</v>
      </c>
    </row>
    <row r="16" spans="2:9" x14ac:dyDescent="0.45">
      <c r="B16" t="s">
        <v>50</v>
      </c>
      <c r="C16">
        <v>245</v>
      </c>
      <c r="D16">
        <v>239</v>
      </c>
      <c r="E16">
        <v>115</v>
      </c>
      <c r="G16" s="48">
        <f t="shared" si="1"/>
        <v>164</v>
      </c>
      <c r="H16" s="48">
        <f t="shared" si="0"/>
        <v>160</v>
      </c>
      <c r="I16" s="48">
        <f t="shared" si="0"/>
        <v>77</v>
      </c>
    </row>
    <row r="17" spans="2:19" x14ac:dyDescent="0.45">
      <c r="B17" t="s">
        <v>51</v>
      </c>
      <c r="C17">
        <v>161</v>
      </c>
      <c r="D17">
        <v>245</v>
      </c>
      <c r="E17">
        <v>115</v>
      </c>
      <c r="G17" s="48">
        <f t="shared" si="1"/>
        <v>124</v>
      </c>
      <c r="H17" s="48">
        <f t="shared" si="0"/>
        <v>188</v>
      </c>
      <c r="I17" s="48">
        <f t="shared" si="0"/>
        <v>88</v>
      </c>
    </row>
    <row r="18" spans="2:19" x14ac:dyDescent="0.45">
      <c r="B18" t="s">
        <v>52</v>
      </c>
      <c r="C18">
        <v>115</v>
      </c>
      <c r="D18">
        <v>217</v>
      </c>
      <c r="E18">
        <v>245</v>
      </c>
      <c r="G18" s="48">
        <f t="shared" si="1"/>
        <v>80</v>
      </c>
      <c r="H18" s="48">
        <f t="shared" si="0"/>
        <v>150</v>
      </c>
      <c r="I18" s="48">
        <f t="shared" si="0"/>
        <v>170</v>
      </c>
    </row>
    <row r="19" spans="2:19" x14ac:dyDescent="0.45">
      <c r="B19" t="s">
        <v>53</v>
      </c>
      <c r="C19">
        <v>115</v>
      </c>
      <c r="D19">
        <v>192</v>
      </c>
      <c r="E19">
        <v>245</v>
      </c>
      <c r="G19" s="48">
        <f t="shared" si="1"/>
        <v>83</v>
      </c>
      <c r="H19" s="48">
        <f t="shared" si="0"/>
        <v>139</v>
      </c>
      <c r="I19" s="48">
        <f t="shared" si="0"/>
        <v>178</v>
      </c>
    </row>
    <row r="20" spans="2:19" x14ac:dyDescent="0.45">
      <c r="B20" t="s">
        <v>54</v>
      </c>
      <c r="C20">
        <v>115</v>
      </c>
      <c r="D20">
        <v>146</v>
      </c>
      <c r="E20">
        <v>245</v>
      </c>
      <c r="G20" s="48">
        <f t="shared" si="1"/>
        <v>91</v>
      </c>
      <c r="H20" s="48">
        <f t="shared" si="1"/>
        <v>115</v>
      </c>
      <c r="I20" s="48">
        <f t="shared" si="1"/>
        <v>194</v>
      </c>
    </row>
    <row r="21" spans="2:19" x14ac:dyDescent="0.45">
      <c r="B21" t="s">
        <v>55</v>
      </c>
      <c r="C21">
        <v>146</v>
      </c>
      <c r="D21">
        <v>115</v>
      </c>
      <c r="E21">
        <v>245</v>
      </c>
      <c r="G21" s="48">
        <f t="shared" ref="G21:I21" si="2">ROUND(C21/SUM($C21:$E21)*$H$2,0)</f>
        <v>115</v>
      </c>
      <c r="H21" s="48">
        <f t="shared" si="2"/>
        <v>91</v>
      </c>
      <c r="I21" s="48">
        <f t="shared" si="2"/>
        <v>194</v>
      </c>
    </row>
    <row r="22" spans="2:19" ht="14.65" thickBot="1" x14ac:dyDescent="0.5"/>
    <row r="23" spans="2:19" ht="15" thickTop="1" thickBot="1" x14ac:dyDescent="0.5">
      <c r="H23" s="53" t="s">
        <v>60</v>
      </c>
      <c r="I23" s="53" t="s">
        <v>62</v>
      </c>
      <c r="J23" s="53" t="s">
        <v>61</v>
      </c>
    </row>
    <row r="24" spans="2:19" ht="15" thickTop="1" thickBot="1" x14ac:dyDescent="0.5">
      <c r="B24" s="46" t="s">
        <v>38</v>
      </c>
      <c r="C24" s="49" t="s">
        <v>33</v>
      </c>
      <c r="D24" s="49" t="s">
        <v>34</v>
      </c>
      <c r="E24" s="49" t="s">
        <v>35</v>
      </c>
      <c r="F24" s="49" t="s">
        <v>36</v>
      </c>
      <c r="H24" s="49"/>
      <c r="I24" s="49"/>
      <c r="J24" s="49"/>
      <c r="L24" s="53" t="s">
        <v>249</v>
      </c>
      <c r="M24" s="53" t="s">
        <v>250</v>
      </c>
      <c r="N24" s="53" t="s">
        <v>33</v>
      </c>
      <c r="O24" s="53" t="s">
        <v>34</v>
      </c>
      <c r="P24" s="53" t="s">
        <v>35</v>
      </c>
      <c r="Q24" s="53" t="s">
        <v>251</v>
      </c>
      <c r="R24" s="53" t="s">
        <v>60</v>
      </c>
      <c r="S24" s="53" t="s">
        <v>61</v>
      </c>
    </row>
    <row r="25" spans="2:19" ht="14.65" thickTop="1" x14ac:dyDescent="0.45">
      <c r="B25" s="27" t="s">
        <v>25</v>
      </c>
      <c r="C25" s="48">
        <f>ROUND(255-((255-C28)*F25),0)</f>
        <v>251</v>
      </c>
      <c r="D25" s="48">
        <f>ROUND(255-((255-D28)*F25),0)</f>
        <v>232</v>
      </c>
      <c r="E25" s="48">
        <f>ROUND(255-((255-E28)*F25),0)</f>
        <v>234</v>
      </c>
      <c r="F25" s="47">
        <v>0.25</v>
      </c>
      <c r="H25" s="48" t="str">
        <f>LOWER(_xlfn.CONCAT("    --",B24,"-",B25,": rgba(",C25,", ",D25,", ",E25,", ","1.00",");"))</f>
        <v xml:space="preserve">    --a1-lightest: rgba(251, 232, 234, 1.00);</v>
      </c>
      <c r="I25" s="48" t="str">
        <f>LOWER(_xlfn.CONCAT("  .color-",B24,"-",B25,"{","color: var(--",B24,"-",B25,");","}"))</f>
        <v xml:space="preserve">  .color-a1-lightest{color: var(--a1-lightest);}</v>
      </c>
      <c r="J25" s="48" t="str">
        <f>LOWER(_xlfn.CONCAT("  .bg-",B24,"-",B25,"{","background-color: var(--",B24,"-",B25,");","}"))</f>
        <v xml:space="preserve">  .bg-a1-lightest{background-color: var(--a1-lightest);}</v>
      </c>
      <c r="L25">
        <v>1</v>
      </c>
      <c r="M25" t="str">
        <f>INDEX(tbl_Accent_RGBs9224[ID],L25,1)</f>
        <v>a1</v>
      </c>
      <c r="N25">
        <f>INDEX(tbl_Accent_RGBs9224[R],$L25,1)</f>
        <v>239</v>
      </c>
      <c r="O25">
        <f>INDEX(tbl_Accent_RGBs9224[G],$L25,1)</f>
        <v>161</v>
      </c>
      <c r="P25">
        <f>INDEX(tbl_Accent_RGBs9224[B],$L25,1)</f>
        <v>170</v>
      </c>
      <c r="Q25" s="57">
        <v>0.1</v>
      </c>
      <c r="R25" t="str">
        <f>LOWER(_xlfn.CONCAT("    --",M25,"-",TEXT(Q25*100,"##"),": rgba(",N25,", ",O25,", ",P25,", ",Q25,");"))</f>
        <v xml:space="preserve">    --a1-10: rgba(239, 161, 170, 0.1);</v>
      </c>
      <c r="S25" t="str">
        <f>LOWER(_xlfn.CONCAT("  .bg-",M25,"-",TEXT(Q25*100,"##"),"{","background-color: var(--",M25,"-",TEXT(Q25*100,"##"),");","}"))</f>
        <v xml:space="preserve">  .bg-a1-10{background-color: var(--a1-10);}</v>
      </c>
    </row>
    <row r="26" spans="2:19" x14ac:dyDescent="0.45">
      <c r="B26" s="27" t="s">
        <v>26</v>
      </c>
      <c r="C26" s="48">
        <f>ROUND(255-((255-C28)*F26),0)</f>
        <v>247</v>
      </c>
      <c r="D26" s="48">
        <f>ROUND(255-((255-D28)*F26),0)</f>
        <v>208</v>
      </c>
      <c r="E26" s="48">
        <f>ROUND(255-((255-E28)*F26),0)</f>
        <v>213</v>
      </c>
      <c r="F26" s="47">
        <v>0.5</v>
      </c>
      <c r="H26" s="48" t="str">
        <f>LOWER(_xlfn.CONCAT("    --",B24,"-",B26,": rgba(",C26,", ",D26,", ",E26,", ","1.00",");"))</f>
        <v xml:space="preserve">    --a1-lighter: rgba(247, 208, 213, 1.00);</v>
      </c>
      <c r="I26" s="48" t="str">
        <f>LOWER(_xlfn.CONCAT("  .color-",B24,"-",B26,"{","color: var(--",B24,"-",B26,");","}"))</f>
        <v xml:space="preserve">  .color-a1-lighter{color: var(--a1-lighter);}</v>
      </c>
      <c r="J26" s="48" t="str">
        <f>LOWER(_xlfn.CONCAT("  .bg-",B24,"-",B26,"{","background-color: var(--",B24,"-",B26,");","}"))</f>
        <v xml:space="preserve">  .bg-a1-lighter{background-color: var(--a1-lighter);}</v>
      </c>
      <c r="L26">
        <v>1</v>
      </c>
      <c r="M26" t="str">
        <f>INDEX(tbl_Accent_RGBs9224[ID],L26,1)</f>
        <v>a1</v>
      </c>
      <c r="N26">
        <f>INDEX(tbl_Accent_RGBs9224[R],$L26,1)</f>
        <v>239</v>
      </c>
      <c r="O26">
        <f>INDEX(tbl_Accent_RGBs9224[G],$L26,1)</f>
        <v>161</v>
      </c>
      <c r="P26">
        <f>INDEX(tbl_Accent_RGBs9224[B],$L26,1)</f>
        <v>170</v>
      </c>
      <c r="Q26" s="57">
        <v>0.2</v>
      </c>
      <c r="R26" t="str">
        <f t="shared" ref="R26:R89" si="3">LOWER(_xlfn.CONCAT("    --",M26,"-",TEXT(Q26*100,"##"),": rgba(",N26,", ",O26,", ",P26,", ",Q26,");"))</f>
        <v xml:space="preserve">    --a1-20: rgba(239, 161, 170, 0.2);</v>
      </c>
      <c r="S26" t="str">
        <f t="shared" ref="S26:S89" si="4">LOWER(_xlfn.CONCAT("  .bg-",M26,"-",TEXT(Q26*100,"##"),"{","background-color: var(--",M26,"-",TEXT(Q26*100,"##"),");","}"))</f>
        <v xml:space="preserve">  .bg-a1-20{background-color: var(--a1-20);}</v>
      </c>
    </row>
    <row r="27" spans="2:19" x14ac:dyDescent="0.45">
      <c r="B27" s="27" t="s">
        <v>27</v>
      </c>
      <c r="C27" s="48">
        <f>ROUND(255-((255-C28)*F27),0)</f>
        <v>243</v>
      </c>
      <c r="D27" s="48">
        <f>ROUND(255-((255-D28)*F27),0)</f>
        <v>185</v>
      </c>
      <c r="E27" s="48">
        <f>ROUND(255-((255-E28)*F27),0)</f>
        <v>191</v>
      </c>
      <c r="F27" s="47">
        <v>0.75</v>
      </c>
      <c r="H27" s="48" t="str">
        <f>LOWER(_xlfn.CONCAT("    --",B24,"-",B27,": rgba(",C27,", ",D27,", ",E27,", ","1.00",");"))</f>
        <v xml:space="preserve">    --a1-light: rgba(243, 185, 191, 1.00);</v>
      </c>
      <c r="I27" s="48" t="str">
        <f>LOWER(_xlfn.CONCAT("  .color-",B24,"-",B27,"{","color: var(--",B24,"-",B27,");","}"))</f>
        <v xml:space="preserve">  .color-a1-light{color: var(--a1-light);}</v>
      </c>
      <c r="J27" s="48" t="str">
        <f>LOWER(_xlfn.CONCAT("  .bg-",B24,"-",B27,"{","background-color: var(--",B24,"-",B27,");","}"))</f>
        <v xml:space="preserve">  .bg-a1-light{background-color: var(--a1-light);}</v>
      </c>
      <c r="L27">
        <v>1</v>
      </c>
      <c r="M27" t="str">
        <f>INDEX(tbl_Accent_RGBs9224[ID],L27,1)</f>
        <v>a1</v>
      </c>
      <c r="N27">
        <f>INDEX(tbl_Accent_RGBs9224[R],$L27,1)</f>
        <v>239</v>
      </c>
      <c r="O27">
        <f>INDEX(tbl_Accent_RGBs9224[G],$L27,1)</f>
        <v>161</v>
      </c>
      <c r="P27">
        <f>INDEX(tbl_Accent_RGBs9224[B],$L27,1)</f>
        <v>170</v>
      </c>
      <c r="Q27" s="57">
        <v>0.3</v>
      </c>
      <c r="R27" t="str">
        <f t="shared" si="3"/>
        <v xml:space="preserve">    --a1-30: rgba(239, 161, 170, 0.3);</v>
      </c>
      <c r="S27" t="str">
        <f t="shared" si="4"/>
        <v xml:space="preserve">  .bg-a1-30{background-color: var(--a1-30);}</v>
      </c>
    </row>
    <row r="28" spans="2:19" x14ac:dyDescent="0.45">
      <c r="B28" s="27" t="s">
        <v>28</v>
      </c>
      <c r="C28" s="50">
        <f>VLOOKUP(B24,$B$3:$E$21,2,FALSE)</f>
        <v>239</v>
      </c>
      <c r="D28" s="50">
        <f>VLOOKUP(B24,$B$3:$E$21,3,FALSE)</f>
        <v>161</v>
      </c>
      <c r="E28" s="50">
        <f>VLOOKUP(B24,$B$3:$E$21,4,FALSE)</f>
        <v>170</v>
      </c>
      <c r="F28" s="47">
        <v>0</v>
      </c>
      <c r="H28" s="48" t="str">
        <f>LOWER(_xlfn.CONCAT("    --",B24,"-",B28,": rgba(",C28,", ",D28,", ",E28,", ","1.00",");"))</f>
        <v xml:space="preserve">    --a1-normal: rgba(239, 161, 170, 1.00);</v>
      </c>
      <c r="I28" s="48" t="str">
        <f>LOWER(_xlfn.CONCAT("  .color-",B24,"-",B28,"{","color: var(--",B24,"-",B28,");","}"))</f>
        <v xml:space="preserve">  .color-a1-normal{color: var(--a1-normal);}</v>
      </c>
      <c r="J28" s="48" t="str">
        <f>LOWER(_xlfn.CONCAT("  .bg-",B24,"-",B28,"{","background-color: var(--",B24,"-",B28,");","}"))</f>
        <v xml:space="preserve">  .bg-a1-normal{background-color: var(--a1-normal);}</v>
      </c>
      <c r="L28">
        <v>1</v>
      </c>
      <c r="M28" t="str">
        <f>INDEX(tbl_Accent_RGBs9224[ID],L28,1)</f>
        <v>a1</v>
      </c>
      <c r="N28">
        <f>INDEX(tbl_Accent_RGBs9224[R],$L28,1)</f>
        <v>239</v>
      </c>
      <c r="O28">
        <f>INDEX(tbl_Accent_RGBs9224[G],$L28,1)</f>
        <v>161</v>
      </c>
      <c r="P28">
        <f>INDEX(tbl_Accent_RGBs9224[B],$L28,1)</f>
        <v>170</v>
      </c>
      <c r="Q28" s="57">
        <v>0.4</v>
      </c>
      <c r="R28" t="str">
        <f t="shared" si="3"/>
        <v xml:space="preserve">    --a1-40: rgba(239, 161, 170, 0.4);</v>
      </c>
      <c r="S28" t="str">
        <f t="shared" si="4"/>
        <v xml:space="preserve">  .bg-a1-40{background-color: var(--a1-40);}</v>
      </c>
    </row>
    <row r="29" spans="2:19" x14ac:dyDescent="0.45">
      <c r="B29" s="27" t="s">
        <v>29</v>
      </c>
      <c r="C29" s="48">
        <f>ROUND(C28*(1+F29),0)</f>
        <v>179</v>
      </c>
      <c r="D29" s="48">
        <f>ROUND(D28*(1+F29),0)</f>
        <v>121</v>
      </c>
      <c r="E29" s="48">
        <f>ROUND(E28*(1+F29),0)</f>
        <v>128</v>
      </c>
      <c r="F29" s="47">
        <v>-0.25</v>
      </c>
      <c r="H29" s="48" t="str">
        <f>LOWER(_xlfn.CONCAT("    --",B24,"-",B29,": rgba(",C29,", ",D29,", ",E29,", ","1.00",");"))</f>
        <v xml:space="preserve">    --a1-dark: rgba(179, 121, 128, 1.00);</v>
      </c>
      <c r="I29" s="48" t="str">
        <f>LOWER(_xlfn.CONCAT("  .color-",B24,"-",B29,"{","color: var(--",B24,"-",B29,");","}"))</f>
        <v xml:space="preserve">  .color-a1-dark{color: var(--a1-dark);}</v>
      </c>
      <c r="J29" s="48" t="str">
        <f>LOWER(_xlfn.CONCAT("  .bg-",B24,"-",B29,"{","background-color: var(--",B24,"-",B29,");","}"))</f>
        <v xml:space="preserve">  .bg-a1-dark{background-color: var(--a1-dark);}</v>
      </c>
      <c r="L29">
        <v>1</v>
      </c>
      <c r="M29" t="str">
        <f>INDEX(tbl_Accent_RGBs9224[ID],L29,1)</f>
        <v>a1</v>
      </c>
      <c r="N29">
        <f>INDEX(tbl_Accent_RGBs9224[R],$L29,1)</f>
        <v>239</v>
      </c>
      <c r="O29">
        <f>INDEX(tbl_Accent_RGBs9224[G],$L29,1)</f>
        <v>161</v>
      </c>
      <c r="P29">
        <f>INDEX(tbl_Accent_RGBs9224[B],$L29,1)</f>
        <v>170</v>
      </c>
      <c r="Q29" s="57">
        <v>0.5</v>
      </c>
      <c r="R29" t="str">
        <f t="shared" si="3"/>
        <v xml:space="preserve">    --a1-50: rgba(239, 161, 170, 0.5);</v>
      </c>
      <c r="S29" t="str">
        <f t="shared" si="4"/>
        <v xml:space="preserve">  .bg-a1-50{background-color: var(--a1-50);}</v>
      </c>
    </row>
    <row r="30" spans="2:19" x14ac:dyDescent="0.45">
      <c r="B30" s="27" t="s">
        <v>30</v>
      </c>
      <c r="C30" s="48">
        <f>ROUND(C28*(1+F30),0)</f>
        <v>120</v>
      </c>
      <c r="D30" s="48">
        <f>ROUND(D28*(1+F30),0)</f>
        <v>81</v>
      </c>
      <c r="E30" s="48">
        <f>ROUND(E28*(1+F30),0)</f>
        <v>85</v>
      </c>
      <c r="F30" s="47">
        <v>-0.5</v>
      </c>
      <c r="H30" s="48" t="str">
        <f>LOWER(_xlfn.CONCAT("    --",B24,"-",B30,": rgba(",C30,", ",D30,", ",E30,", ","1.00",");"))</f>
        <v xml:space="preserve">    --a1-darker: rgba(120, 81, 85, 1.00);</v>
      </c>
      <c r="I30" s="48" t="str">
        <f>LOWER(_xlfn.CONCAT("  .color-",B24,"-",B30,"{","color: var(--",B24,"-",B30,");","}"))</f>
        <v xml:space="preserve">  .color-a1-darker{color: var(--a1-darker);}</v>
      </c>
      <c r="J30" s="48" t="str">
        <f>LOWER(_xlfn.CONCAT("  .bg-",B24,"-",B30,"{","background-color: var(--",B24,"-",B30,");","}"))</f>
        <v xml:space="preserve">  .bg-a1-darker{background-color: var(--a1-darker);}</v>
      </c>
      <c r="L30">
        <v>1</v>
      </c>
      <c r="M30" t="str">
        <f>INDEX(tbl_Accent_RGBs9224[ID],L30,1)</f>
        <v>a1</v>
      </c>
      <c r="N30">
        <f>INDEX(tbl_Accent_RGBs9224[R],$L30,1)</f>
        <v>239</v>
      </c>
      <c r="O30">
        <f>INDEX(tbl_Accent_RGBs9224[G],$L30,1)</f>
        <v>161</v>
      </c>
      <c r="P30">
        <f>INDEX(tbl_Accent_RGBs9224[B],$L30,1)</f>
        <v>170</v>
      </c>
      <c r="Q30" s="57">
        <v>0.6</v>
      </c>
      <c r="R30" t="str">
        <f t="shared" si="3"/>
        <v xml:space="preserve">    --a1-60: rgba(239, 161, 170, 0.6);</v>
      </c>
      <c r="S30" t="str">
        <f t="shared" si="4"/>
        <v xml:space="preserve">  .bg-a1-60{background-color: var(--a1-60);}</v>
      </c>
    </row>
    <row r="31" spans="2:19" x14ac:dyDescent="0.45">
      <c r="B31" s="27" t="s">
        <v>31</v>
      </c>
      <c r="C31" s="48">
        <f>ROUND(C28*(1+F31),0)</f>
        <v>60</v>
      </c>
      <c r="D31" s="48">
        <f>ROUND(D28*(1+F31),0)</f>
        <v>40</v>
      </c>
      <c r="E31" s="48">
        <f>ROUND(E28*(1+F31),0)</f>
        <v>43</v>
      </c>
      <c r="F31" s="47">
        <v>-0.75</v>
      </c>
      <c r="H31" s="48" t="str">
        <f>LOWER(_xlfn.CONCAT("    --",B24,"-",B31,": rgba(",C31,", ",D31,", ",E31,", ","1.00",");"))</f>
        <v xml:space="preserve">    --a1-darkest: rgba(60, 40, 43, 1.00);</v>
      </c>
      <c r="I31" s="48" t="str">
        <f>LOWER(_xlfn.CONCAT("  .color-",B24,"-",B31,"{","color: var(--",B24,"-",B31,");","}"))</f>
        <v xml:space="preserve">  .color-a1-darkest{color: var(--a1-darkest);}</v>
      </c>
      <c r="J31" s="48" t="str">
        <f>LOWER(_xlfn.CONCAT("  .bg-",B24,"-",B31,"{","background-color: var(--",B24,"-",B31,");","}"))</f>
        <v xml:space="preserve">  .bg-a1-darkest{background-color: var(--a1-darkest);}</v>
      </c>
      <c r="L31">
        <v>1</v>
      </c>
      <c r="M31" t="str">
        <f>INDEX(tbl_Accent_RGBs9224[ID],L31,1)</f>
        <v>a1</v>
      </c>
      <c r="N31">
        <f>INDEX(tbl_Accent_RGBs9224[R],$L31,1)</f>
        <v>239</v>
      </c>
      <c r="O31">
        <f>INDEX(tbl_Accent_RGBs9224[G],$L31,1)</f>
        <v>161</v>
      </c>
      <c r="P31">
        <f>INDEX(tbl_Accent_RGBs9224[B],$L31,1)</f>
        <v>170</v>
      </c>
      <c r="Q31" s="57">
        <v>0.7</v>
      </c>
      <c r="R31" t="str">
        <f t="shared" si="3"/>
        <v xml:space="preserve">    --a1-70: rgba(239, 161, 170, 0.7);</v>
      </c>
      <c r="S31" t="str">
        <f t="shared" si="4"/>
        <v xml:space="preserve">  .bg-a1-70{background-color: var(--a1-70);}</v>
      </c>
    </row>
    <row r="32" spans="2:19" x14ac:dyDescent="0.45">
      <c r="B32" s="46" t="s">
        <v>39</v>
      </c>
      <c r="C32" s="49" t="s">
        <v>33</v>
      </c>
      <c r="D32" s="49" t="s">
        <v>34</v>
      </c>
      <c r="E32" s="49" t="s">
        <v>35</v>
      </c>
      <c r="F32" s="49" t="s">
        <v>36</v>
      </c>
      <c r="H32" s="49"/>
      <c r="I32" s="49"/>
      <c r="J32" s="49"/>
      <c r="L32">
        <v>1</v>
      </c>
      <c r="M32" t="str">
        <f>INDEX(tbl_Accent_RGBs9224[ID],L32,1)</f>
        <v>a1</v>
      </c>
      <c r="N32">
        <f>INDEX(tbl_Accent_RGBs9224[R],$L32,1)</f>
        <v>239</v>
      </c>
      <c r="O32">
        <f>INDEX(tbl_Accent_RGBs9224[G],$L32,1)</f>
        <v>161</v>
      </c>
      <c r="P32">
        <f>INDEX(tbl_Accent_RGBs9224[B],$L32,1)</f>
        <v>170</v>
      </c>
      <c r="Q32" s="57">
        <v>0.8</v>
      </c>
      <c r="R32" t="str">
        <f t="shared" si="3"/>
        <v xml:space="preserve">    --a1-80: rgba(239, 161, 170, 0.8);</v>
      </c>
      <c r="S32" t="str">
        <f t="shared" si="4"/>
        <v xml:space="preserve">  .bg-a1-80{background-color: var(--a1-80);}</v>
      </c>
    </row>
    <row r="33" spans="2:19" x14ac:dyDescent="0.45">
      <c r="B33" s="27" t="s">
        <v>25</v>
      </c>
      <c r="C33" s="48">
        <f>ROUND(255-((255-C36)*F33),0)</f>
        <v>251</v>
      </c>
      <c r="D33" s="48">
        <f>ROUND(255-((255-D36)*F33),0)</f>
        <v>236</v>
      </c>
      <c r="E33" s="48">
        <f>ROUND(255-((255-E36)*F33),0)</f>
        <v>232</v>
      </c>
      <c r="F33" s="47">
        <v>0.25</v>
      </c>
      <c r="H33" s="48" t="str">
        <f t="shared" ref="H33" si="5">LOWER(_xlfn.CONCAT("    --",B32,"-",B33,": rgba(",C33,", ",D33,", ",E33,", ","1.00",");"))</f>
        <v xml:space="preserve">    --a2-lightest: rgba(251, 236, 232, 1.00);</v>
      </c>
      <c r="I33" s="48" t="str">
        <f t="shared" ref="I33" si="6">LOWER(_xlfn.CONCAT("  .color-",B32,"-",B33,"{","color: var(--",B32,"-",B33,");","}"))</f>
        <v xml:space="preserve">  .color-a2-lightest{color: var(--a2-lightest);}</v>
      </c>
      <c r="J33" s="48" t="str">
        <f t="shared" ref="J33" si="7">LOWER(_xlfn.CONCAT("  .bg-",B32,"-",B33,"{","background-color: var(--",B32,"-",B33,");","}"))</f>
        <v xml:space="preserve">  .bg-a2-lightest{background-color: var(--a2-lightest);}</v>
      </c>
      <c r="L33">
        <v>1</v>
      </c>
      <c r="M33" t="str">
        <f>INDEX(tbl_Accent_RGBs9224[ID],L33,1)</f>
        <v>a1</v>
      </c>
      <c r="N33">
        <f>INDEX(tbl_Accent_RGBs9224[R],$L33,1)</f>
        <v>239</v>
      </c>
      <c r="O33">
        <f>INDEX(tbl_Accent_RGBs9224[G],$L33,1)</f>
        <v>161</v>
      </c>
      <c r="P33">
        <f>INDEX(tbl_Accent_RGBs9224[B],$L33,1)</f>
        <v>170</v>
      </c>
      <c r="Q33" s="57">
        <v>0.9</v>
      </c>
      <c r="R33" t="str">
        <f t="shared" si="3"/>
        <v xml:space="preserve">    --a1-90: rgba(239, 161, 170, 0.9);</v>
      </c>
      <c r="S33" t="str">
        <f t="shared" si="4"/>
        <v xml:space="preserve">  .bg-a1-90{background-color: var(--a1-90);}</v>
      </c>
    </row>
    <row r="34" spans="2:19" x14ac:dyDescent="0.45">
      <c r="B34" s="27" t="s">
        <v>26</v>
      </c>
      <c r="C34" s="48">
        <f>ROUND(255-((255-C36)*F34),0)</f>
        <v>247</v>
      </c>
      <c r="D34" s="48">
        <f>ROUND(255-((255-D36)*F34),0)</f>
        <v>218</v>
      </c>
      <c r="E34" s="48">
        <f>ROUND(255-((255-E36)*F34),0)</f>
        <v>208</v>
      </c>
      <c r="F34" s="47">
        <v>0.5</v>
      </c>
      <c r="H34" s="48" t="str">
        <f t="shared" ref="H34" si="8">LOWER(_xlfn.CONCAT("    --",B32,"-",B34,": rgba(",C34,", ",D34,", ",E34,", ","1.00",");"))</f>
        <v xml:space="preserve">    --a2-lighter: rgba(247, 218, 208, 1.00);</v>
      </c>
      <c r="I34" s="48" t="str">
        <f t="shared" ref="I34" si="9">LOWER(_xlfn.CONCAT("  .color-",B32,"-",B34,"{","color: var(--",B32,"-",B34,");","}"))</f>
        <v xml:space="preserve">  .color-a2-lighter{color: var(--a2-lighter);}</v>
      </c>
      <c r="J34" s="48" t="str">
        <f t="shared" ref="J34" si="10">LOWER(_xlfn.CONCAT("  .bg-",B32,"-",B34,"{","background-color: var(--",B32,"-",B34,");","}"))</f>
        <v xml:space="preserve">  .bg-a2-lighter{background-color: var(--a2-lighter);}</v>
      </c>
      <c r="L34">
        <f>L25+1</f>
        <v>2</v>
      </c>
      <c r="M34" t="str">
        <f>INDEX(tbl_Accent_RGBs9224[ID],L34,1)</f>
        <v>a2</v>
      </c>
      <c r="N34">
        <f>INDEX(tbl_Accent_RGBs9224[R],$L34,1)</f>
        <v>239</v>
      </c>
      <c r="O34">
        <f>INDEX(tbl_Accent_RGBs9224[G],$L34,1)</f>
        <v>180</v>
      </c>
      <c r="P34">
        <f>INDEX(tbl_Accent_RGBs9224[B],$L34,1)</f>
        <v>161</v>
      </c>
      <c r="Q34" s="57">
        <v>0.1</v>
      </c>
      <c r="R34" t="str">
        <f t="shared" si="3"/>
        <v xml:space="preserve">    --a2-10: rgba(239, 180, 161, 0.1);</v>
      </c>
      <c r="S34" t="str">
        <f t="shared" si="4"/>
        <v xml:space="preserve">  .bg-a2-10{background-color: var(--a2-10);}</v>
      </c>
    </row>
    <row r="35" spans="2:19" x14ac:dyDescent="0.45">
      <c r="B35" s="27" t="s">
        <v>27</v>
      </c>
      <c r="C35" s="48">
        <f>ROUND(255-((255-C36)*F35),0)</f>
        <v>243</v>
      </c>
      <c r="D35" s="48">
        <f>ROUND(255-((255-D36)*F35),0)</f>
        <v>199</v>
      </c>
      <c r="E35" s="48">
        <f>ROUND(255-((255-E36)*F35),0)</f>
        <v>185</v>
      </c>
      <c r="F35" s="47">
        <v>0.75</v>
      </c>
      <c r="H35" s="48" t="str">
        <f t="shared" ref="H35" si="11">LOWER(_xlfn.CONCAT("    --",B32,"-",B35,": rgba(",C35,", ",D35,", ",E35,", ","1.00",");"))</f>
        <v xml:space="preserve">    --a2-light: rgba(243, 199, 185, 1.00);</v>
      </c>
      <c r="I35" s="48" t="str">
        <f t="shared" ref="I35" si="12">LOWER(_xlfn.CONCAT("  .color-",B32,"-",B35,"{","color: var(--",B32,"-",B35,");","}"))</f>
        <v xml:space="preserve">  .color-a2-light{color: var(--a2-light);}</v>
      </c>
      <c r="J35" s="48" t="str">
        <f t="shared" ref="J35" si="13">LOWER(_xlfn.CONCAT("  .bg-",B32,"-",B35,"{","background-color: var(--",B32,"-",B35,");","}"))</f>
        <v xml:space="preserve">  .bg-a2-light{background-color: var(--a2-light);}</v>
      </c>
      <c r="L35">
        <f t="shared" ref="L35:L98" si="14">L26+1</f>
        <v>2</v>
      </c>
      <c r="M35" t="str">
        <f>INDEX(tbl_Accent_RGBs9224[ID],L35,1)</f>
        <v>a2</v>
      </c>
      <c r="N35">
        <f>INDEX(tbl_Accent_RGBs9224[R],$L35,1)</f>
        <v>239</v>
      </c>
      <c r="O35">
        <f>INDEX(tbl_Accent_RGBs9224[G],$L35,1)</f>
        <v>180</v>
      </c>
      <c r="P35">
        <f>INDEX(tbl_Accent_RGBs9224[B],$L35,1)</f>
        <v>161</v>
      </c>
      <c r="Q35" s="57">
        <v>0.2</v>
      </c>
      <c r="R35" t="str">
        <f t="shared" si="3"/>
        <v xml:space="preserve">    --a2-20: rgba(239, 180, 161, 0.2);</v>
      </c>
      <c r="S35" t="str">
        <f t="shared" si="4"/>
        <v xml:space="preserve">  .bg-a2-20{background-color: var(--a2-20);}</v>
      </c>
    </row>
    <row r="36" spans="2:19" x14ac:dyDescent="0.45">
      <c r="B36" s="27" t="s">
        <v>28</v>
      </c>
      <c r="C36" s="50">
        <f>VLOOKUP(B32,$B$3:$E$21,2,FALSE)</f>
        <v>239</v>
      </c>
      <c r="D36" s="50">
        <f>VLOOKUP(B32,$B$3:$E$21,3,FALSE)</f>
        <v>180</v>
      </c>
      <c r="E36" s="50">
        <f>VLOOKUP(B32,$B$3:$E$21,4,FALSE)</f>
        <v>161</v>
      </c>
      <c r="F36" s="47">
        <v>0</v>
      </c>
      <c r="H36" s="48" t="str">
        <f t="shared" ref="H36" si="15">LOWER(_xlfn.CONCAT("    --",B32,"-",B36,": rgba(",C36,", ",D36,", ",E36,", ","1.00",");"))</f>
        <v xml:space="preserve">    --a2-normal: rgba(239, 180, 161, 1.00);</v>
      </c>
      <c r="I36" s="48" t="str">
        <f t="shared" ref="I36" si="16">LOWER(_xlfn.CONCAT("  .color-",B32,"-",B36,"{","color: var(--",B32,"-",B36,");","}"))</f>
        <v xml:space="preserve">  .color-a2-normal{color: var(--a2-normal);}</v>
      </c>
      <c r="J36" s="48" t="str">
        <f t="shared" ref="J36" si="17">LOWER(_xlfn.CONCAT("  .bg-",B32,"-",B36,"{","background-color: var(--",B32,"-",B36,");","}"))</f>
        <v xml:space="preserve">  .bg-a2-normal{background-color: var(--a2-normal);}</v>
      </c>
      <c r="L36">
        <f t="shared" si="14"/>
        <v>2</v>
      </c>
      <c r="M36" t="str">
        <f>INDEX(tbl_Accent_RGBs9224[ID],L36,1)</f>
        <v>a2</v>
      </c>
      <c r="N36">
        <f>INDEX(tbl_Accent_RGBs9224[R],$L36,1)</f>
        <v>239</v>
      </c>
      <c r="O36">
        <f>INDEX(tbl_Accent_RGBs9224[G],$L36,1)</f>
        <v>180</v>
      </c>
      <c r="P36">
        <f>INDEX(tbl_Accent_RGBs9224[B],$L36,1)</f>
        <v>161</v>
      </c>
      <c r="Q36" s="57">
        <v>0.3</v>
      </c>
      <c r="R36" t="str">
        <f t="shared" si="3"/>
        <v xml:space="preserve">    --a2-30: rgba(239, 180, 161, 0.3);</v>
      </c>
      <c r="S36" t="str">
        <f t="shared" si="4"/>
        <v xml:space="preserve">  .bg-a2-30{background-color: var(--a2-30);}</v>
      </c>
    </row>
    <row r="37" spans="2:19" x14ac:dyDescent="0.45">
      <c r="B37" s="27" t="s">
        <v>29</v>
      </c>
      <c r="C37" s="48">
        <f>ROUND(C36*(1+F37),0)</f>
        <v>179</v>
      </c>
      <c r="D37" s="48">
        <f>ROUND(D36*(1+F37),0)</f>
        <v>135</v>
      </c>
      <c r="E37" s="48">
        <f>ROUND(E36*(1+F37),0)</f>
        <v>121</v>
      </c>
      <c r="F37" s="47">
        <v>-0.25</v>
      </c>
      <c r="H37" s="48" t="str">
        <f t="shared" ref="H37" si="18">LOWER(_xlfn.CONCAT("    --",B32,"-",B37,": rgba(",C37,", ",D37,", ",E37,", ","1.00",");"))</f>
        <v xml:space="preserve">    --a2-dark: rgba(179, 135, 121, 1.00);</v>
      </c>
      <c r="I37" s="48" t="str">
        <f t="shared" ref="I37" si="19">LOWER(_xlfn.CONCAT("  .color-",B32,"-",B37,"{","color: var(--",B32,"-",B37,");","}"))</f>
        <v xml:space="preserve">  .color-a2-dark{color: var(--a2-dark);}</v>
      </c>
      <c r="J37" s="48" t="str">
        <f t="shared" ref="J37" si="20">LOWER(_xlfn.CONCAT("  .bg-",B32,"-",B37,"{","background-color: var(--",B32,"-",B37,");","}"))</f>
        <v xml:space="preserve">  .bg-a2-dark{background-color: var(--a2-dark);}</v>
      </c>
      <c r="L37">
        <f t="shared" si="14"/>
        <v>2</v>
      </c>
      <c r="M37" t="str">
        <f>INDEX(tbl_Accent_RGBs9224[ID],L37,1)</f>
        <v>a2</v>
      </c>
      <c r="N37">
        <f>INDEX(tbl_Accent_RGBs9224[R],$L37,1)</f>
        <v>239</v>
      </c>
      <c r="O37">
        <f>INDEX(tbl_Accent_RGBs9224[G],$L37,1)</f>
        <v>180</v>
      </c>
      <c r="P37">
        <f>INDEX(tbl_Accent_RGBs9224[B],$L37,1)</f>
        <v>161</v>
      </c>
      <c r="Q37" s="57">
        <v>0.4</v>
      </c>
      <c r="R37" t="str">
        <f t="shared" si="3"/>
        <v xml:space="preserve">    --a2-40: rgba(239, 180, 161, 0.4);</v>
      </c>
      <c r="S37" t="str">
        <f t="shared" si="4"/>
        <v xml:space="preserve">  .bg-a2-40{background-color: var(--a2-40);}</v>
      </c>
    </row>
    <row r="38" spans="2:19" x14ac:dyDescent="0.45">
      <c r="B38" s="27" t="s">
        <v>30</v>
      </c>
      <c r="C38" s="48">
        <f>ROUND(C36*(1+F38),0)</f>
        <v>120</v>
      </c>
      <c r="D38" s="48">
        <f>ROUND(D36*(1+F38),0)</f>
        <v>90</v>
      </c>
      <c r="E38" s="48">
        <f>ROUND(E36*(1+F38),0)</f>
        <v>81</v>
      </c>
      <c r="F38" s="47">
        <v>-0.5</v>
      </c>
      <c r="H38" s="48" t="str">
        <f t="shared" ref="H38" si="21">LOWER(_xlfn.CONCAT("    --",B32,"-",B38,": rgba(",C38,", ",D38,", ",E38,", ","1.00",");"))</f>
        <v xml:space="preserve">    --a2-darker: rgba(120, 90, 81, 1.00);</v>
      </c>
      <c r="I38" s="48" t="str">
        <f t="shared" ref="I38" si="22">LOWER(_xlfn.CONCAT("  .color-",B32,"-",B38,"{","color: var(--",B32,"-",B38,");","}"))</f>
        <v xml:space="preserve">  .color-a2-darker{color: var(--a2-darker);}</v>
      </c>
      <c r="J38" s="48" t="str">
        <f t="shared" ref="J38" si="23">LOWER(_xlfn.CONCAT("  .bg-",B32,"-",B38,"{","background-color: var(--",B32,"-",B38,");","}"))</f>
        <v xml:space="preserve">  .bg-a2-darker{background-color: var(--a2-darker);}</v>
      </c>
      <c r="L38">
        <f t="shared" si="14"/>
        <v>2</v>
      </c>
      <c r="M38" t="str">
        <f>INDEX(tbl_Accent_RGBs9224[ID],L38,1)</f>
        <v>a2</v>
      </c>
      <c r="N38">
        <f>INDEX(tbl_Accent_RGBs9224[R],$L38,1)</f>
        <v>239</v>
      </c>
      <c r="O38">
        <f>INDEX(tbl_Accent_RGBs9224[G],$L38,1)</f>
        <v>180</v>
      </c>
      <c r="P38">
        <f>INDEX(tbl_Accent_RGBs9224[B],$L38,1)</f>
        <v>161</v>
      </c>
      <c r="Q38" s="57">
        <v>0.5</v>
      </c>
      <c r="R38" t="str">
        <f t="shared" si="3"/>
        <v xml:space="preserve">    --a2-50: rgba(239, 180, 161, 0.5);</v>
      </c>
      <c r="S38" t="str">
        <f t="shared" si="4"/>
        <v xml:space="preserve">  .bg-a2-50{background-color: var(--a2-50);}</v>
      </c>
    </row>
    <row r="39" spans="2:19" x14ac:dyDescent="0.45">
      <c r="B39" s="27" t="s">
        <v>31</v>
      </c>
      <c r="C39" s="48">
        <f>ROUND(C36*(1+F39),0)</f>
        <v>60</v>
      </c>
      <c r="D39" s="48">
        <f>ROUND(D36*(1+F39),0)</f>
        <v>45</v>
      </c>
      <c r="E39" s="48">
        <f>ROUND(E36*(1+F39),0)</f>
        <v>40</v>
      </c>
      <c r="F39" s="47">
        <v>-0.75</v>
      </c>
      <c r="H39" s="48" t="str">
        <f t="shared" ref="H39" si="24">LOWER(_xlfn.CONCAT("    --",B32,"-",B39,": rgba(",C39,", ",D39,", ",E39,", ","1.00",");"))</f>
        <v xml:space="preserve">    --a2-darkest: rgba(60, 45, 40, 1.00);</v>
      </c>
      <c r="I39" s="48" t="str">
        <f t="shared" ref="I39" si="25">LOWER(_xlfn.CONCAT("  .color-",B32,"-",B39,"{","color: var(--",B32,"-",B39,");","}"))</f>
        <v xml:space="preserve">  .color-a2-darkest{color: var(--a2-darkest);}</v>
      </c>
      <c r="J39" s="48" t="str">
        <f t="shared" ref="J39" si="26">LOWER(_xlfn.CONCAT("  .bg-",B32,"-",B39,"{","background-color: var(--",B32,"-",B39,");","}"))</f>
        <v xml:space="preserve">  .bg-a2-darkest{background-color: var(--a2-darkest);}</v>
      </c>
      <c r="L39">
        <f t="shared" si="14"/>
        <v>2</v>
      </c>
      <c r="M39" t="str">
        <f>INDEX(tbl_Accent_RGBs9224[ID],L39,1)</f>
        <v>a2</v>
      </c>
      <c r="N39">
        <f>INDEX(tbl_Accent_RGBs9224[R],$L39,1)</f>
        <v>239</v>
      </c>
      <c r="O39">
        <f>INDEX(tbl_Accent_RGBs9224[G],$L39,1)</f>
        <v>180</v>
      </c>
      <c r="P39">
        <f>INDEX(tbl_Accent_RGBs9224[B],$L39,1)</f>
        <v>161</v>
      </c>
      <c r="Q39" s="57">
        <v>0.6</v>
      </c>
      <c r="R39" t="str">
        <f t="shared" si="3"/>
        <v xml:space="preserve">    --a2-60: rgba(239, 180, 161, 0.6);</v>
      </c>
      <c r="S39" t="str">
        <f t="shared" si="4"/>
        <v xml:space="preserve">  .bg-a2-60{background-color: var(--a2-60);}</v>
      </c>
    </row>
    <row r="40" spans="2:19" x14ac:dyDescent="0.45">
      <c r="B40" s="46" t="s">
        <v>40</v>
      </c>
      <c r="C40" s="49" t="s">
        <v>33</v>
      </c>
      <c r="D40" s="49" t="s">
        <v>34</v>
      </c>
      <c r="E40" s="49" t="s">
        <v>35</v>
      </c>
      <c r="F40" s="49" t="s">
        <v>36</v>
      </c>
      <c r="H40" s="49"/>
      <c r="I40" s="49"/>
      <c r="J40" s="49"/>
      <c r="L40">
        <f t="shared" si="14"/>
        <v>2</v>
      </c>
      <c r="M40" t="str">
        <f>INDEX(tbl_Accent_RGBs9224[ID],L40,1)</f>
        <v>a2</v>
      </c>
      <c r="N40">
        <f>INDEX(tbl_Accent_RGBs9224[R],$L40,1)</f>
        <v>239</v>
      </c>
      <c r="O40">
        <f>INDEX(tbl_Accent_RGBs9224[G],$L40,1)</f>
        <v>180</v>
      </c>
      <c r="P40">
        <f>INDEX(tbl_Accent_RGBs9224[B],$L40,1)</f>
        <v>161</v>
      </c>
      <c r="Q40" s="57">
        <v>0.7</v>
      </c>
      <c r="R40" t="str">
        <f t="shared" si="3"/>
        <v xml:space="preserve">    --a2-70: rgba(239, 180, 161, 0.7);</v>
      </c>
      <c r="S40" t="str">
        <f t="shared" si="4"/>
        <v xml:space="preserve">  .bg-a2-70{background-color: var(--a2-70);}</v>
      </c>
    </row>
    <row r="41" spans="2:19" x14ac:dyDescent="0.45">
      <c r="B41" s="27" t="s">
        <v>25</v>
      </c>
      <c r="C41" s="48">
        <f>ROUND(255-((255-C44)*F41),0)</f>
        <v>251</v>
      </c>
      <c r="D41" s="48">
        <f>ROUND(255-((255-D44)*F41),0)</f>
        <v>246</v>
      </c>
      <c r="E41" s="48">
        <f>ROUND(255-((255-E44)*F41),0)</f>
        <v>232</v>
      </c>
      <c r="F41" s="47">
        <v>0.25</v>
      </c>
      <c r="H41" s="48" t="str">
        <f t="shared" ref="H41" si="27">LOWER(_xlfn.CONCAT("    --",B40,"-",B41,": rgba(",C41,", ",D41,", ",E41,", ","1.00",");"))</f>
        <v xml:space="preserve">    --a3-lightest: rgba(251, 246, 232, 1.00);</v>
      </c>
      <c r="I41" s="48" t="str">
        <f t="shared" ref="I41" si="28">LOWER(_xlfn.CONCAT("  .color-",B40,"-",B41,"{","color: var(--",B40,"-",B41,");","}"))</f>
        <v xml:space="preserve">  .color-a3-lightest{color: var(--a3-lightest);}</v>
      </c>
      <c r="J41" s="48" t="str">
        <f t="shared" ref="J41" si="29">LOWER(_xlfn.CONCAT("  .bg-",B40,"-",B41,"{","background-color: var(--",B40,"-",B41,");","}"))</f>
        <v xml:space="preserve">  .bg-a3-lightest{background-color: var(--a3-lightest);}</v>
      </c>
      <c r="L41">
        <f t="shared" si="14"/>
        <v>2</v>
      </c>
      <c r="M41" t="str">
        <f>INDEX(tbl_Accent_RGBs9224[ID],L41,1)</f>
        <v>a2</v>
      </c>
      <c r="N41">
        <f>INDEX(tbl_Accent_RGBs9224[R],$L41,1)</f>
        <v>239</v>
      </c>
      <c r="O41">
        <f>INDEX(tbl_Accent_RGBs9224[G],$L41,1)</f>
        <v>180</v>
      </c>
      <c r="P41">
        <f>INDEX(tbl_Accent_RGBs9224[B],$L41,1)</f>
        <v>161</v>
      </c>
      <c r="Q41" s="57">
        <v>0.8</v>
      </c>
      <c r="R41" t="str">
        <f t="shared" si="3"/>
        <v xml:space="preserve">    --a2-80: rgba(239, 180, 161, 0.8);</v>
      </c>
      <c r="S41" t="str">
        <f t="shared" si="4"/>
        <v xml:space="preserve">  .bg-a2-80{background-color: var(--a2-80);}</v>
      </c>
    </row>
    <row r="42" spans="2:19" x14ac:dyDescent="0.45">
      <c r="B42" s="27" t="s">
        <v>26</v>
      </c>
      <c r="C42" s="48">
        <f>ROUND(255-((255-C44)*F42),0)</f>
        <v>247</v>
      </c>
      <c r="D42" s="48">
        <f>ROUND(255-((255-D44)*F42),0)</f>
        <v>236</v>
      </c>
      <c r="E42" s="48">
        <f>ROUND(255-((255-E44)*F42),0)</f>
        <v>208</v>
      </c>
      <c r="F42" s="47">
        <v>0.5</v>
      </c>
      <c r="H42" s="48" t="str">
        <f t="shared" ref="H42" si="30">LOWER(_xlfn.CONCAT("    --",B40,"-",B42,": rgba(",C42,", ",D42,", ",E42,", ","1.00",");"))</f>
        <v xml:space="preserve">    --a3-lighter: rgba(247, 236, 208, 1.00);</v>
      </c>
      <c r="I42" s="48" t="str">
        <f t="shared" ref="I42" si="31">LOWER(_xlfn.CONCAT("  .color-",B40,"-",B42,"{","color: var(--",B40,"-",B42,");","}"))</f>
        <v xml:space="preserve">  .color-a3-lighter{color: var(--a3-lighter);}</v>
      </c>
      <c r="J42" s="48" t="str">
        <f t="shared" ref="J42" si="32">LOWER(_xlfn.CONCAT("  .bg-",B40,"-",B42,"{","background-color: var(--",B40,"-",B42,");","}"))</f>
        <v xml:space="preserve">  .bg-a3-lighter{background-color: var(--a3-lighter);}</v>
      </c>
      <c r="L42">
        <f t="shared" si="14"/>
        <v>2</v>
      </c>
      <c r="M42" t="str">
        <f>INDEX(tbl_Accent_RGBs9224[ID],L42,1)</f>
        <v>a2</v>
      </c>
      <c r="N42">
        <f>INDEX(tbl_Accent_RGBs9224[R],$L42,1)</f>
        <v>239</v>
      </c>
      <c r="O42">
        <f>INDEX(tbl_Accent_RGBs9224[G],$L42,1)</f>
        <v>180</v>
      </c>
      <c r="P42">
        <f>INDEX(tbl_Accent_RGBs9224[B],$L42,1)</f>
        <v>161</v>
      </c>
      <c r="Q42" s="57">
        <v>0.9</v>
      </c>
      <c r="R42" t="str">
        <f t="shared" si="3"/>
        <v xml:space="preserve">    --a2-90: rgba(239, 180, 161, 0.9);</v>
      </c>
      <c r="S42" t="str">
        <f t="shared" si="4"/>
        <v xml:space="preserve">  .bg-a2-90{background-color: var(--a2-90);}</v>
      </c>
    </row>
    <row r="43" spans="2:19" x14ac:dyDescent="0.45">
      <c r="B43" s="27" t="s">
        <v>27</v>
      </c>
      <c r="C43" s="48">
        <f>ROUND(255-((255-C44)*F43),0)</f>
        <v>243</v>
      </c>
      <c r="D43" s="48">
        <f>ROUND(255-((255-D44)*F43),0)</f>
        <v>227</v>
      </c>
      <c r="E43" s="48">
        <f>ROUND(255-((255-E44)*F43),0)</f>
        <v>185</v>
      </c>
      <c r="F43" s="47">
        <v>0.75</v>
      </c>
      <c r="H43" s="48" t="str">
        <f t="shared" ref="H43" si="33">LOWER(_xlfn.CONCAT("    --",B40,"-",B43,": rgba(",C43,", ",D43,", ",E43,", ","1.00",");"))</f>
        <v xml:space="preserve">    --a3-light: rgba(243, 227, 185, 1.00);</v>
      </c>
      <c r="I43" s="48" t="str">
        <f t="shared" ref="I43" si="34">LOWER(_xlfn.CONCAT("  .color-",B40,"-",B43,"{","color: var(--",B40,"-",B43,");","}"))</f>
        <v xml:space="preserve">  .color-a3-light{color: var(--a3-light);}</v>
      </c>
      <c r="J43" s="48" t="str">
        <f t="shared" ref="J43" si="35">LOWER(_xlfn.CONCAT("  .bg-",B40,"-",B43,"{","background-color: var(--",B40,"-",B43,");","}"))</f>
        <v xml:space="preserve">  .bg-a3-light{background-color: var(--a3-light);}</v>
      </c>
      <c r="L43">
        <f t="shared" si="14"/>
        <v>3</v>
      </c>
      <c r="M43" t="str">
        <f>INDEX(tbl_Accent_RGBs9224[ID],L43,1)</f>
        <v>a3</v>
      </c>
      <c r="N43">
        <f>INDEX(tbl_Accent_RGBs9224[R],$L43,1)</f>
        <v>239</v>
      </c>
      <c r="O43">
        <f>INDEX(tbl_Accent_RGBs9224[G],$L43,1)</f>
        <v>217</v>
      </c>
      <c r="P43">
        <f>INDEX(tbl_Accent_RGBs9224[B],$L43,1)</f>
        <v>161</v>
      </c>
      <c r="Q43" s="57">
        <v>0.1</v>
      </c>
      <c r="R43" t="str">
        <f t="shared" si="3"/>
        <v xml:space="preserve">    --a3-10: rgba(239, 217, 161, 0.1);</v>
      </c>
      <c r="S43" t="str">
        <f t="shared" si="4"/>
        <v xml:space="preserve">  .bg-a3-10{background-color: var(--a3-10);}</v>
      </c>
    </row>
    <row r="44" spans="2:19" x14ac:dyDescent="0.45">
      <c r="B44" s="27" t="s">
        <v>28</v>
      </c>
      <c r="C44" s="50">
        <f>VLOOKUP(B40,$B$3:$E$21,2,FALSE)</f>
        <v>239</v>
      </c>
      <c r="D44" s="50">
        <f>VLOOKUP(B40,$B$3:$E$21,3,FALSE)</f>
        <v>217</v>
      </c>
      <c r="E44" s="50">
        <f>VLOOKUP(B40,$B$3:$E$21,4,FALSE)</f>
        <v>161</v>
      </c>
      <c r="F44" s="47">
        <v>0</v>
      </c>
      <c r="H44" s="48" t="str">
        <f t="shared" ref="H44" si="36">LOWER(_xlfn.CONCAT("    --",B40,"-",B44,": rgba(",C44,", ",D44,", ",E44,", ","1.00",");"))</f>
        <v xml:space="preserve">    --a3-normal: rgba(239, 217, 161, 1.00);</v>
      </c>
      <c r="I44" s="48" t="str">
        <f t="shared" ref="I44" si="37">LOWER(_xlfn.CONCAT("  .color-",B40,"-",B44,"{","color: var(--",B40,"-",B44,");","}"))</f>
        <v xml:space="preserve">  .color-a3-normal{color: var(--a3-normal);}</v>
      </c>
      <c r="J44" s="48" t="str">
        <f t="shared" ref="J44" si="38">LOWER(_xlfn.CONCAT("  .bg-",B40,"-",B44,"{","background-color: var(--",B40,"-",B44,");","}"))</f>
        <v xml:space="preserve">  .bg-a3-normal{background-color: var(--a3-normal);}</v>
      </c>
      <c r="L44">
        <f t="shared" si="14"/>
        <v>3</v>
      </c>
      <c r="M44" t="str">
        <f>INDEX(tbl_Accent_RGBs9224[ID],L44,1)</f>
        <v>a3</v>
      </c>
      <c r="N44">
        <f>INDEX(tbl_Accent_RGBs9224[R],$L44,1)</f>
        <v>239</v>
      </c>
      <c r="O44">
        <f>INDEX(tbl_Accent_RGBs9224[G],$L44,1)</f>
        <v>217</v>
      </c>
      <c r="P44">
        <f>INDEX(tbl_Accent_RGBs9224[B],$L44,1)</f>
        <v>161</v>
      </c>
      <c r="Q44" s="57">
        <v>0.2</v>
      </c>
      <c r="R44" t="str">
        <f t="shared" si="3"/>
        <v xml:space="preserve">    --a3-20: rgba(239, 217, 161, 0.2);</v>
      </c>
      <c r="S44" t="str">
        <f t="shared" si="4"/>
        <v xml:space="preserve">  .bg-a3-20{background-color: var(--a3-20);}</v>
      </c>
    </row>
    <row r="45" spans="2:19" x14ac:dyDescent="0.45">
      <c r="B45" s="27" t="s">
        <v>29</v>
      </c>
      <c r="C45" s="48">
        <f>ROUND(C44*(1+F45),0)</f>
        <v>179</v>
      </c>
      <c r="D45" s="48">
        <f>ROUND(D44*(1+F45),0)</f>
        <v>163</v>
      </c>
      <c r="E45" s="48">
        <f>ROUND(E44*(1+F45),0)</f>
        <v>121</v>
      </c>
      <c r="F45" s="47">
        <v>-0.25</v>
      </c>
      <c r="H45" s="48" t="str">
        <f t="shared" ref="H45" si="39">LOWER(_xlfn.CONCAT("    --",B40,"-",B45,": rgba(",C45,", ",D45,", ",E45,", ","1.00",");"))</f>
        <v xml:space="preserve">    --a3-dark: rgba(179, 163, 121, 1.00);</v>
      </c>
      <c r="I45" s="48" t="str">
        <f t="shared" ref="I45" si="40">LOWER(_xlfn.CONCAT("  .color-",B40,"-",B45,"{","color: var(--",B40,"-",B45,");","}"))</f>
        <v xml:space="preserve">  .color-a3-dark{color: var(--a3-dark);}</v>
      </c>
      <c r="J45" s="48" t="str">
        <f t="shared" ref="J45" si="41">LOWER(_xlfn.CONCAT("  .bg-",B40,"-",B45,"{","background-color: var(--",B40,"-",B45,");","}"))</f>
        <v xml:space="preserve">  .bg-a3-dark{background-color: var(--a3-dark);}</v>
      </c>
      <c r="L45">
        <f t="shared" si="14"/>
        <v>3</v>
      </c>
      <c r="M45" t="str">
        <f>INDEX(tbl_Accent_RGBs9224[ID],L45,1)</f>
        <v>a3</v>
      </c>
      <c r="N45">
        <f>INDEX(tbl_Accent_RGBs9224[R],$L45,1)</f>
        <v>239</v>
      </c>
      <c r="O45">
        <f>INDEX(tbl_Accent_RGBs9224[G],$L45,1)</f>
        <v>217</v>
      </c>
      <c r="P45">
        <f>INDEX(tbl_Accent_RGBs9224[B],$L45,1)</f>
        <v>161</v>
      </c>
      <c r="Q45" s="57">
        <v>0.3</v>
      </c>
      <c r="R45" t="str">
        <f t="shared" si="3"/>
        <v xml:space="preserve">    --a3-30: rgba(239, 217, 161, 0.3);</v>
      </c>
      <c r="S45" t="str">
        <f t="shared" si="4"/>
        <v xml:space="preserve">  .bg-a3-30{background-color: var(--a3-30);}</v>
      </c>
    </row>
    <row r="46" spans="2:19" x14ac:dyDescent="0.45">
      <c r="B46" s="27" t="s">
        <v>30</v>
      </c>
      <c r="C46" s="48">
        <f>ROUND(C44*(1+F46),0)</f>
        <v>120</v>
      </c>
      <c r="D46" s="48">
        <f>ROUND(D44*(1+F46),0)</f>
        <v>109</v>
      </c>
      <c r="E46" s="48">
        <f>ROUND(E44*(1+F46),0)</f>
        <v>81</v>
      </c>
      <c r="F46" s="47">
        <v>-0.5</v>
      </c>
      <c r="H46" s="48" t="str">
        <f t="shared" ref="H46" si="42">LOWER(_xlfn.CONCAT("    --",B40,"-",B46,": rgba(",C46,", ",D46,", ",E46,", ","1.00",");"))</f>
        <v xml:space="preserve">    --a3-darker: rgba(120, 109, 81, 1.00);</v>
      </c>
      <c r="I46" s="48" t="str">
        <f t="shared" ref="I46" si="43">LOWER(_xlfn.CONCAT("  .color-",B40,"-",B46,"{","color: var(--",B40,"-",B46,");","}"))</f>
        <v xml:space="preserve">  .color-a3-darker{color: var(--a3-darker);}</v>
      </c>
      <c r="J46" s="48" t="str">
        <f t="shared" ref="J46" si="44">LOWER(_xlfn.CONCAT("  .bg-",B40,"-",B46,"{","background-color: var(--",B40,"-",B46,");","}"))</f>
        <v xml:space="preserve">  .bg-a3-darker{background-color: var(--a3-darker);}</v>
      </c>
      <c r="L46">
        <f t="shared" si="14"/>
        <v>3</v>
      </c>
      <c r="M46" t="str">
        <f>INDEX(tbl_Accent_RGBs9224[ID],L46,1)</f>
        <v>a3</v>
      </c>
      <c r="N46">
        <f>INDEX(tbl_Accent_RGBs9224[R],$L46,1)</f>
        <v>239</v>
      </c>
      <c r="O46">
        <f>INDEX(tbl_Accent_RGBs9224[G],$L46,1)</f>
        <v>217</v>
      </c>
      <c r="P46">
        <f>INDEX(tbl_Accent_RGBs9224[B],$L46,1)</f>
        <v>161</v>
      </c>
      <c r="Q46" s="57">
        <v>0.4</v>
      </c>
      <c r="R46" t="str">
        <f t="shared" si="3"/>
        <v xml:space="preserve">    --a3-40: rgba(239, 217, 161, 0.4);</v>
      </c>
      <c r="S46" t="str">
        <f t="shared" si="4"/>
        <v xml:space="preserve">  .bg-a3-40{background-color: var(--a3-40);}</v>
      </c>
    </row>
    <row r="47" spans="2:19" x14ac:dyDescent="0.45">
      <c r="B47" s="27" t="s">
        <v>31</v>
      </c>
      <c r="C47" s="48">
        <f>ROUND(C44*(1+F47),0)</f>
        <v>60</v>
      </c>
      <c r="D47" s="48">
        <f>ROUND(D44*(1+F47),0)</f>
        <v>54</v>
      </c>
      <c r="E47" s="48">
        <f>ROUND(E44*(1+F47),0)</f>
        <v>40</v>
      </c>
      <c r="F47" s="47">
        <v>-0.75</v>
      </c>
      <c r="H47" s="48" t="str">
        <f t="shared" ref="H47" si="45">LOWER(_xlfn.CONCAT("    --",B40,"-",B47,": rgba(",C47,", ",D47,", ",E47,", ","1.00",");"))</f>
        <v xml:space="preserve">    --a3-darkest: rgba(60, 54, 40, 1.00);</v>
      </c>
      <c r="I47" s="48" t="str">
        <f t="shared" ref="I47" si="46">LOWER(_xlfn.CONCAT("  .color-",B40,"-",B47,"{","color: var(--",B40,"-",B47,");","}"))</f>
        <v xml:space="preserve">  .color-a3-darkest{color: var(--a3-darkest);}</v>
      </c>
      <c r="J47" s="48" t="str">
        <f t="shared" ref="J47" si="47">LOWER(_xlfn.CONCAT("  .bg-",B40,"-",B47,"{","background-color: var(--",B40,"-",B47,");","}"))</f>
        <v xml:space="preserve">  .bg-a3-darkest{background-color: var(--a3-darkest);}</v>
      </c>
      <c r="L47">
        <f t="shared" si="14"/>
        <v>3</v>
      </c>
      <c r="M47" t="str">
        <f>INDEX(tbl_Accent_RGBs9224[ID],L47,1)</f>
        <v>a3</v>
      </c>
      <c r="N47">
        <f>INDEX(tbl_Accent_RGBs9224[R],$L47,1)</f>
        <v>239</v>
      </c>
      <c r="O47">
        <f>INDEX(tbl_Accent_RGBs9224[G],$L47,1)</f>
        <v>217</v>
      </c>
      <c r="P47">
        <f>INDEX(tbl_Accent_RGBs9224[B],$L47,1)</f>
        <v>161</v>
      </c>
      <c r="Q47" s="57">
        <v>0.5</v>
      </c>
      <c r="R47" t="str">
        <f t="shared" si="3"/>
        <v xml:space="preserve">    --a3-50: rgba(239, 217, 161, 0.5);</v>
      </c>
      <c r="S47" t="str">
        <f t="shared" si="4"/>
        <v xml:space="preserve">  .bg-a3-50{background-color: var(--a3-50);}</v>
      </c>
    </row>
    <row r="48" spans="2:19" x14ac:dyDescent="0.45">
      <c r="B48" s="46" t="s">
        <v>41</v>
      </c>
      <c r="C48" s="49" t="s">
        <v>33</v>
      </c>
      <c r="D48" s="49" t="s">
        <v>34</v>
      </c>
      <c r="E48" s="49" t="s">
        <v>35</v>
      </c>
      <c r="F48" s="49" t="s">
        <v>36</v>
      </c>
      <c r="H48" s="49"/>
      <c r="I48" s="49"/>
      <c r="J48" s="49"/>
      <c r="L48">
        <f t="shared" si="14"/>
        <v>3</v>
      </c>
      <c r="M48" t="str">
        <f>INDEX(tbl_Accent_RGBs9224[ID],L48,1)</f>
        <v>a3</v>
      </c>
      <c r="N48">
        <f>INDEX(tbl_Accent_RGBs9224[R],$L48,1)</f>
        <v>239</v>
      </c>
      <c r="O48">
        <f>INDEX(tbl_Accent_RGBs9224[G],$L48,1)</f>
        <v>217</v>
      </c>
      <c r="P48">
        <f>INDEX(tbl_Accent_RGBs9224[B],$L48,1)</f>
        <v>161</v>
      </c>
      <c r="Q48" s="57">
        <v>0.6</v>
      </c>
      <c r="R48" t="str">
        <f t="shared" si="3"/>
        <v xml:space="preserve">    --a3-60: rgba(239, 217, 161, 0.6);</v>
      </c>
      <c r="S48" t="str">
        <f t="shared" si="4"/>
        <v xml:space="preserve">  .bg-a3-60{background-color: var(--a3-60);}</v>
      </c>
    </row>
    <row r="49" spans="2:19" x14ac:dyDescent="0.45">
      <c r="B49" s="27" t="s">
        <v>25</v>
      </c>
      <c r="C49" s="48">
        <f>ROUND(255-((255-C52)*F49),0)</f>
        <v>251</v>
      </c>
      <c r="D49" s="48">
        <f>ROUND(255-((255-D52)*F49),0)</f>
        <v>250</v>
      </c>
      <c r="E49" s="48">
        <f>ROUND(255-((255-E52)*F49),0)</f>
        <v>232</v>
      </c>
      <c r="F49" s="47">
        <v>0.25</v>
      </c>
      <c r="H49" s="48" t="str">
        <f t="shared" ref="H49" si="48">LOWER(_xlfn.CONCAT("    --",B48,"-",B49,": rgba(",C49,", ",D49,", ",E49,", ","1.00",");"))</f>
        <v xml:space="preserve">    --a4-lightest: rgba(251, 250, 232, 1.00);</v>
      </c>
      <c r="I49" s="48" t="str">
        <f t="shared" ref="I49" si="49">LOWER(_xlfn.CONCAT("  .color-",B48,"-",B49,"{","color: var(--",B48,"-",B49,");","}"))</f>
        <v xml:space="preserve">  .color-a4-lightest{color: var(--a4-lightest);}</v>
      </c>
      <c r="J49" s="48" t="str">
        <f t="shared" ref="J49" si="50">LOWER(_xlfn.CONCAT("  .bg-",B48,"-",B49,"{","background-color: var(--",B48,"-",B49,");","}"))</f>
        <v xml:space="preserve">  .bg-a4-lightest{background-color: var(--a4-lightest);}</v>
      </c>
      <c r="L49">
        <f t="shared" si="14"/>
        <v>3</v>
      </c>
      <c r="M49" t="str">
        <f>INDEX(tbl_Accent_RGBs9224[ID],L49,1)</f>
        <v>a3</v>
      </c>
      <c r="N49">
        <f>INDEX(tbl_Accent_RGBs9224[R],$L49,1)</f>
        <v>239</v>
      </c>
      <c r="O49">
        <f>INDEX(tbl_Accent_RGBs9224[G],$L49,1)</f>
        <v>217</v>
      </c>
      <c r="P49">
        <f>INDEX(tbl_Accent_RGBs9224[B],$L49,1)</f>
        <v>161</v>
      </c>
      <c r="Q49" s="57">
        <v>0.7</v>
      </c>
      <c r="R49" t="str">
        <f t="shared" si="3"/>
        <v xml:space="preserve">    --a3-70: rgba(239, 217, 161, 0.7);</v>
      </c>
      <c r="S49" t="str">
        <f t="shared" si="4"/>
        <v xml:space="preserve">  .bg-a3-70{background-color: var(--a3-70);}</v>
      </c>
    </row>
    <row r="50" spans="2:19" x14ac:dyDescent="0.45">
      <c r="B50" s="27" t="s">
        <v>26</v>
      </c>
      <c r="C50" s="48">
        <f>ROUND(255-((255-C52)*F50),0)</f>
        <v>247</v>
      </c>
      <c r="D50" s="48">
        <f>ROUND(255-((255-D52)*F50),0)</f>
        <v>245</v>
      </c>
      <c r="E50" s="48">
        <f>ROUND(255-((255-E52)*F50),0)</f>
        <v>208</v>
      </c>
      <c r="F50" s="47">
        <v>0.5</v>
      </c>
      <c r="H50" s="48" t="str">
        <f t="shared" ref="H50" si="51">LOWER(_xlfn.CONCAT("    --",B48,"-",B50,": rgba(",C50,", ",D50,", ",E50,", ","1.00",");"))</f>
        <v xml:space="preserve">    --a4-lighter: rgba(247, 245, 208, 1.00);</v>
      </c>
      <c r="I50" s="48" t="str">
        <f t="shared" ref="I50" si="52">LOWER(_xlfn.CONCAT("  .color-",B48,"-",B50,"{","color: var(--",B48,"-",B50,");","}"))</f>
        <v xml:space="preserve">  .color-a4-lighter{color: var(--a4-lighter);}</v>
      </c>
      <c r="J50" s="48" t="str">
        <f t="shared" ref="J50" si="53">LOWER(_xlfn.CONCAT("  .bg-",B48,"-",B50,"{","background-color: var(--",B48,"-",B50,");","}"))</f>
        <v xml:space="preserve">  .bg-a4-lighter{background-color: var(--a4-lighter);}</v>
      </c>
      <c r="L50">
        <f t="shared" si="14"/>
        <v>3</v>
      </c>
      <c r="M50" t="str">
        <f>INDEX(tbl_Accent_RGBs9224[ID],L50,1)</f>
        <v>a3</v>
      </c>
      <c r="N50">
        <f>INDEX(tbl_Accent_RGBs9224[R],$L50,1)</f>
        <v>239</v>
      </c>
      <c r="O50">
        <f>INDEX(tbl_Accent_RGBs9224[G],$L50,1)</f>
        <v>217</v>
      </c>
      <c r="P50">
        <f>INDEX(tbl_Accent_RGBs9224[B],$L50,1)</f>
        <v>161</v>
      </c>
      <c r="Q50" s="57">
        <v>0.8</v>
      </c>
      <c r="R50" t="str">
        <f t="shared" si="3"/>
        <v xml:space="preserve">    --a3-80: rgba(239, 217, 161, 0.8);</v>
      </c>
      <c r="S50" t="str">
        <f t="shared" si="4"/>
        <v xml:space="preserve">  .bg-a3-80{background-color: var(--a3-80);}</v>
      </c>
    </row>
    <row r="51" spans="2:19" x14ac:dyDescent="0.45">
      <c r="B51" s="27" t="s">
        <v>27</v>
      </c>
      <c r="C51" s="48">
        <f>ROUND(255-((255-C52)*F51),0)</f>
        <v>243</v>
      </c>
      <c r="D51" s="48">
        <f>ROUND(255-((255-D52)*F51),0)</f>
        <v>240</v>
      </c>
      <c r="E51" s="48">
        <f>ROUND(255-((255-E52)*F51),0)</f>
        <v>185</v>
      </c>
      <c r="F51" s="47">
        <v>0.75</v>
      </c>
      <c r="H51" s="48" t="str">
        <f t="shared" ref="H51" si="54">LOWER(_xlfn.CONCAT("    --",B48,"-",B51,": rgba(",C51,", ",D51,", ",E51,", ","1.00",");"))</f>
        <v xml:space="preserve">    --a4-light: rgba(243, 240, 185, 1.00);</v>
      </c>
      <c r="I51" s="48" t="str">
        <f t="shared" ref="I51" si="55">LOWER(_xlfn.CONCAT("  .color-",B48,"-",B51,"{","color: var(--",B48,"-",B51,");","}"))</f>
        <v xml:space="preserve">  .color-a4-light{color: var(--a4-light);}</v>
      </c>
      <c r="J51" s="48" t="str">
        <f t="shared" ref="J51" si="56">LOWER(_xlfn.CONCAT("  .bg-",B48,"-",B51,"{","background-color: var(--",B48,"-",B51,");","}"))</f>
        <v xml:space="preserve">  .bg-a4-light{background-color: var(--a4-light);}</v>
      </c>
      <c r="L51">
        <f t="shared" si="14"/>
        <v>3</v>
      </c>
      <c r="M51" t="str">
        <f>INDEX(tbl_Accent_RGBs9224[ID],L51,1)</f>
        <v>a3</v>
      </c>
      <c r="N51">
        <f>INDEX(tbl_Accent_RGBs9224[R],$L51,1)</f>
        <v>239</v>
      </c>
      <c r="O51">
        <f>INDEX(tbl_Accent_RGBs9224[G],$L51,1)</f>
        <v>217</v>
      </c>
      <c r="P51">
        <f>INDEX(tbl_Accent_RGBs9224[B],$L51,1)</f>
        <v>161</v>
      </c>
      <c r="Q51" s="57">
        <v>0.9</v>
      </c>
      <c r="R51" t="str">
        <f t="shared" si="3"/>
        <v xml:space="preserve">    --a3-90: rgba(239, 217, 161, 0.9);</v>
      </c>
      <c r="S51" t="str">
        <f t="shared" si="4"/>
        <v xml:space="preserve">  .bg-a3-90{background-color: var(--a3-90);}</v>
      </c>
    </row>
    <row r="52" spans="2:19" x14ac:dyDescent="0.45">
      <c r="B52" s="27" t="s">
        <v>28</v>
      </c>
      <c r="C52" s="50">
        <f>VLOOKUP(B48,$B$3:$E$21,2,FALSE)</f>
        <v>239</v>
      </c>
      <c r="D52" s="50">
        <f>VLOOKUP(B48,$B$3:$E$21,3,FALSE)</f>
        <v>235</v>
      </c>
      <c r="E52" s="50">
        <f>VLOOKUP(B48,$B$3:$E$21,4,FALSE)</f>
        <v>161</v>
      </c>
      <c r="F52" s="47">
        <v>0</v>
      </c>
      <c r="H52" s="48" t="str">
        <f t="shared" ref="H52" si="57">LOWER(_xlfn.CONCAT("    --",B48,"-",B52,": rgba(",C52,", ",D52,", ",E52,", ","1.00",");"))</f>
        <v xml:space="preserve">    --a4-normal: rgba(239, 235, 161, 1.00);</v>
      </c>
      <c r="I52" s="48" t="str">
        <f t="shared" ref="I52" si="58">LOWER(_xlfn.CONCAT("  .color-",B48,"-",B52,"{","color: var(--",B48,"-",B52,");","}"))</f>
        <v xml:space="preserve">  .color-a4-normal{color: var(--a4-normal);}</v>
      </c>
      <c r="J52" s="48" t="str">
        <f t="shared" ref="J52" si="59">LOWER(_xlfn.CONCAT("  .bg-",B48,"-",B52,"{","background-color: var(--",B48,"-",B52,");","}"))</f>
        <v xml:space="preserve">  .bg-a4-normal{background-color: var(--a4-normal);}</v>
      </c>
      <c r="L52">
        <f t="shared" si="14"/>
        <v>4</v>
      </c>
      <c r="M52" t="str">
        <f>INDEX(tbl_Accent_RGBs9224[ID],L52,1)</f>
        <v>a4</v>
      </c>
      <c r="N52">
        <f>INDEX(tbl_Accent_RGBs9224[R],$L52,1)</f>
        <v>239</v>
      </c>
      <c r="O52">
        <f>INDEX(tbl_Accent_RGBs9224[G],$L52,1)</f>
        <v>235</v>
      </c>
      <c r="P52">
        <f>INDEX(tbl_Accent_RGBs9224[B],$L52,1)</f>
        <v>161</v>
      </c>
      <c r="Q52" s="57">
        <v>0.1</v>
      </c>
      <c r="R52" t="str">
        <f t="shared" si="3"/>
        <v xml:space="preserve">    --a4-10: rgba(239, 235, 161, 0.1);</v>
      </c>
      <c r="S52" t="str">
        <f t="shared" si="4"/>
        <v xml:space="preserve">  .bg-a4-10{background-color: var(--a4-10);}</v>
      </c>
    </row>
    <row r="53" spans="2:19" x14ac:dyDescent="0.45">
      <c r="B53" s="27" t="s">
        <v>29</v>
      </c>
      <c r="C53" s="48">
        <f>ROUND(C52*(1+F53),0)</f>
        <v>179</v>
      </c>
      <c r="D53" s="48">
        <f>ROUND(D52*(1+F53),0)</f>
        <v>176</v>
      </c>
      <c r="E53" s="48">
        <f>ROUND(E52*(1+F53),0)</f>
        <v>121</v>
      </c>
      <c r="F53" s="47">
        <v>-0.25</v>
      </c>
      <c r="H53" s="48" t="str">
        <f t="shared" ref="H53" si="60">LOWER(_xlfn.CONCAT("    --",B48,"-",B53,": rgba(",C53,", ",D53,", ",E53,", ","1.00",");"))</f>
        <v xml:space="preserve">    --a4-dark: rgba(179, 176, 121, 1.00);</v>
      </c>
      <c r="I53" s="48" t="str">
        <f t="shared" ref="I53" si="61">LOWER(_xlfn.CONCAT("  .color-",B48,"-",B53,"{","color: var(--",B48,"-",B53,");","}"))</f>
        <v xml:space="preserve">  .color-a4-dark{color: var(--a4-dark);}</v>
      </c>
      <c r="J53" s="48" t="str">
        <f t="shared" ref="J53" si="62">LOWER(_xlfn.CONCAT("  .bg-",B48,"-",B53,"{","background-color: var(--",B48,"-",B53,");","}"))</f>
        <v xml:space="preserve">  .bg-a4-dark{background-color: var(--a4-dark);}</v>
      </c>
      <c r="L53">
        <f t="shared" si="14"/>
        <v>4</v>
      </c>
      <c r="M53" t="str">
        <f>INDEX(tbl_Accent_RGBs9224[ID],L53,1)</f>
        <v>a4</v>
      </c>
      <c r="N53">
        <f>INDEX(tbl_Accent_RGBs9224[R],$L53,1)</f>
        <v>239</v>
      </c>
      <c r="O53">
        <f>INDEX(tbl_Accent_RGBs9224[G],$L53,1)</f>
        <v>235</v>
      </c>
      <c r="P53">
        <f>INDEX(tbl_Accent_RGBs9224[B],$L53,1)</f>
        <v>161</v>
      </c>
      <c r="Q53" s="57">
        <v>0.2</v>
      </c>
      <c r="R53" t="str">
        <f t="shared" si="3"/>
        <v xml:space="preserve">    --a4-20: rgba(239, 235, 161, 0.2);</v>
      </c>
      <c r="S53" t="str">
        <f t="shared" si="4"/>
        <v xml:space="preserve">  .bg-a4-20{background-color: var(--a4-20);}</v>
      </c>
    </row>
    <row r="54" spans="2:19" x14ac:dyDescent="0.45">
      <c r="B54" s="27" t="s">
        <v>30</v>
      </c>
      <c r="C54" s="48">
        <f>ROUND(C52*(1+F54),0)</f>
        <v>120</v>
      </c>
      <c r="D54" s="48">
        <f>ROUND(D52*(1+F54),0)</f>
        <v>118</v>
      </c>
      <c r="E54" s="48">
        <f>ROUND(E52*(1+F54),0)</f>
        <v>81</v>
      </c>
      <c r="F54" s="47">
        <v>-0.5</v>
      </c>
      <c r="H54" s="48" t="str">
        <f t="shared" ref="H54" si="63">LOWER(_xlfn.CONCAT("    --",B48,"-",B54,": rgba(",C54,", ",D54,", ",E54,", ","1.00",");"))</f>
        <v xml:space="preserve">    --a4-darker: rgba(120, 118, 81, 1.00);</v>
      </c>
      <c r="I54" s="48" t="str">
        <f t="shared" ref="I54" si="64">LOWER(_xlfn.CONCAT("  .color-",B48,"-",B54,"{","color: var(--",B48,"-",B54,");","}"))</f>
        <v xml:space="preserve">  .color-a4-darker{color: var(--a4-darker);}</v>
      </c>
      <c r="J54" s="48" t="str">
        <f t="shared" ref="J54" si="65">LOWER(_xlfn.CONCAT("  .bg-",B48,"-",B54,"{","background-color: var(--",B48,"-",B54,");","}"))</f>
        <v xml:space="preserve">  .bg-a4-darker{background-color: var(--a4-darker);}</v>
      </c>
      <c r="L54">
        <f t="shared" si="14"/>
        <v>4</v>
      </c>
      <c r="M54" t="str">
        <f>INDEX(tbl_Accent_RGBs9224[ID],L54,1)</f>
        <v>a4</v>
      </c>
      <c r="N54">
        <f>INDEX(tbl_Accent_RGBs9224[R],$L54,1)</f>
        <v>239</v>
      </c>
      <c r="O54">
        <f>INDEX(tbl_Accent_RGBs9224[G],$L54,1)</f>
        <v>235</v>
      </c>
      <c r="P54">
        <f>INDEX(tbl_Accent_RGBs9224[B],$L54,1)</f>
        <v>161</v>
      </c>
      <c r="Q54" s="57">
        <v>0.3</v>
      </c>
      <c r="R54" t="str">
        <f t="shared" si="3"/>
        <v xml:space="preserve">    --a4-30: rgba(239, 235, 161, 0.3);</v>
      </c>
      <c r="S54" t="str">
        <f t="shared" si="4"/>
        <v xml:space="preserve">  .bg-a4-30{background-color: var(--a4-30);}</v>
      </c>
    </row>
    <row r="55" spans="2:19" x14ac:dyDescent="0.45">
      <c r="B55" s="27" t="s">
        <v>31</v>
      </c>
      <c r="C55" s="48">
        <f>ROUND(C52*(1+F55),0)</f>
        <v>60</v>
      </c>
      <c r="D55" s="48">
        <f>ROUND(D52*(1+F55),0)</f>
        <v>59</v>
      </c>
      <c r="E55" s="48">
        <f>ROUND(E52*(1+F55),0)</f>
        <v>40</v>
      </c>
      <c r="F55" s="47">
        <v>-0.75</v>
      </c>
      <c r="H55" s="48" t="str">
        <f t="shared" ref="H55" si="66">LOWER(_xlfn.CONCAT("    --",B48,"-",B55,": rgba(",C55,", ",D55,", ",E55,", ","1.00",");"))</f>
        <v xml:space="preserve">    --a4-darkest: rgba(60, 59, 40, 1.00);</v>
      </c>
      <c r="I55" s="48" t="str">
        <f t="shared" ref="I55" si="67">LOWER(_xlfn.CONCAT("  .color-",B48,"-",B55,"{","color: var(--",B48,"-",B55,");","}"))</f>
        <v xml:space="preserve">  .color-a4-darkest{color: var(--a4-darkest);}</v>
      </c>
      <c r="J55" s="48" t="str">
        <f t="shared" ref="J55" si="68">LOWER(_xlfn.CONCAT("  .bg-",B48,"-",B55,"{","background-color: var(--",B48,"-",B55,");","}"))</f>
        <v xml:space="preserve">  .bg-a4-darkest{background-color: var(--a4-darkest);}</v>
      </c>
      <c r="L55">
        <f t="shared" si="14"/>
        <v>4</v>
      </c>
      <c r="M55" t="str">
        <f>INDEX(tbl_Accent_RGBs9224[ID],L55,1)</f>
        <v>a4</v>
      </c>
      <c r="N55">
        <f>INDEX(tbl_Accent_RGBs9224[R],$L55,1)</f>
        <v>239</v>
      </c>
      <c r="O55">
        <f>INDEX(tbl_Accent_RGBs9224[G],$L55,1)</f>
        <v>235</v>
      </c>
      <c r="P55">
        <f>INDEX(tbl_Accent_RGBs9224[B],$L55,1)</f>
        <v>161</v>
      </c>
      <c r="Q55" s="57">
        <v>0.4</v>
      </c>
      <c r="R55" t="str">
        <f t="shared" si="3"/>
        <v xml:space="preserve">    --a4-40: rgba(239, 235, 161, 0.4);</v>
      </c>
      <c r="S55" t="str">
        <f t="shared" si="4"/>
        <v xml:space="preserve">  .bg-a4-40{background-color: var(--a4-40);}</v>
      </c>
    </row>
    <row r="56" spans="2:19" x14ac:dyDescent="0.45">
      <c r="B56" s="46" t="s">
        <v>42</v>
      </c>
      <c r="C56" s="49" t="s">
        <v>33</v>
      </c>
      <c r="D56" s="49" t="s">
        <v>34</v>
      </c>
      <c r="E56" s="49" t="s">
        <v>35</v>
      </c>
      <c r="F56" s="49" t="s">
        <v>36</v>
      </c>
      <c r="H56" s="49"/>
      <c r="I56" s="49"/>
      <c r="J56" s="49"/>
      <c r="L56">
        <f t="shared" si="14"/>
        <v>4</v>
      </c>
      <c r="M56" t="str">
        <f>INDEX(tbl_Accent_RGBs9224[ID],L56,1)</f>
        <v>a4</v>
      </c>
      <c r="N56">
        <f>INDEX(tbl_Accent_RGBs9224[R],$L56,1)</f>
        <v>239</v>
      </c>
      <c r="O56">
        <f>INDEX(tbl_Accent_RGBs9224[G],$L56,1)</f>
        <v>235</v>
      </c>
      <c r="P56">
        <f>INDEX(tbl_Accent_RGBs9224[B],$L56,1)</f>
        <v>161</v>
      </c>
      <c r="Q56" s="57">
        <v>0.5</v>
      </c>
      <c r="R56" t="str">
        <f t="shared" si="3"/>
        <v xml:space="preserve">    --a4-50: rgba(239, 235, 161, 0.5);</v>
      </c>
      <c r="S56" t="str">
        <f t="shared" si="4"/>
        <v xml:space="preserve">  .bg-a4-50{background-color: var(--a4-50);}</v>
      </c>
    </row>
    <row r="57" spans="2:19" x14ac:dyDescent="0.45">
      <c r="B57" s="27" t="s">
        <v>25</v>
      </c>
      <c r="C57" s="48">
        <f>ROUND(255-((255-C60)*F57),0)</f>
        <v>239</v>
      </c>
      <c r="D57" s="48">
        <f>ROUND(255-((255-D60)*F57),0)</f>
        <v>251</v>
      </c>
      <c r="E57" s="48">
        <f>ROUND(255-((255-E60)*F57),0)</f>
        <v>232</v>
      </c>
      <c r="F57" s="47">
        <v>0.25</v>
      </c>
      <c r="H57" s="48" t="str">
        <f t="shared" ref="H57" si="69">LOWER(_xlfn.CONCAT("    --",B56,"-",B57,": rgba(",C57,", ",D57,", ",E57,", ","1.00",");"))</f>
        <v xml:space="preserve">    --a5-lightest: rgba(239, 251, 232, 1.00);</v>
      </c>
      <c r="I57" s="48" t="str">
        <f t="shared" ref="I57" si="70">LOWER(_xlfn.CONCAT("  .color-",B56,"-",B57,"{","color: var(--",B56,"-",B57,");","}"))</f>
        <v xml:space="preserve">  .color-a5-lightest{color: var(--a5-lightest);}</v>
      </c>
      <c r="J57" s="48" t="str">
        <f t="shared" ref="J57" si="71">LOWER(_xlfn.CONCAT("  .bg-",B56,"-",B57,"{","background-color: var(--",B56,"-",B57,");","}"))</f>
        <v xml:space="preserve">  .bg-a5-lightest{background-color: var(--a5-lightest);}</v>
      </c>
      <c r="L57">
        <f t="shared" si="14"/>
        <v>4</v>
      </c>
      <c r="M57" t="str">
        <f>INDEX(tbl_Accent_RGBs9224[ID],L57,1)</f>
        <v>a4</v>
      </c>
      <c r="N57">
        <f>INDEX(tbl_Accent_RGBs9224[R],$L57,1)</f>
        <v>239</v>
      </c>
      <c r="O57">
        <f>INDEX(tbl_Accent_RGBs9224[G],$L57,1)</f>
        <v>235</v>
      </c>
      <c r="P57">
        <f>INDEX(tbl_Accent_RGBs9224[B],$L57,1)</f>
        <v>161</v>
      </c>
      <c r="Q57" s="57">
        <v>0.6</v>
      </c>
      <c r="R57" t="str">
        <f t="shared" si="3"/>
        <v xml:space="preserve">    --a4-60: rgba(239, 235, 161, 0.6);</v>
      </c>
      <c r="S57" t="str">
        <f t="shared" si="4"/>
        <v xml:space="preserve">  .bg-a4-60{background-color: var(--a4-60);}</v>
      </c>
    </row>
    <row r="58" spans="2:19" x14ac:dyDescent="0.45">
      <c r="B58" s="27" t="s">
        <v>26</v>
      </c>
      <c r="C58" s="48">
        <f>ROUND(255-((255-C60)*F58),0)</f>
        <v>222</v>
      </c>
      <c r="D58" s="48">
        <f>ROUND(255-((255-D60)*F58),0)</f>
        <v>247</v>
      </c>
      <c r="E58" s="48">
        <f>ROUND(255-((255-E60)*F58),0)</f>
        <v>208</v>
      </c>
      <c r="F58" s="47">
        <v>0.5</v>
      </c>
      <c r="H58" s="48" t="str">
        <f t="shared" ref="H58" si="72">LOWER(_xlfn.CONCAT("    --",B56,"-",B58,": rgba(",C58,", ",D58,", ",E58,", ","1.00",");"))</f>
        <v xml:space="preserve">    --a5-lighter: rgba(222, 247, 208, 1.00);</v>
      </c>
      <c r="I58" s="48" t="str">
        <f t="shared" ref="I58" si="73">LOWER(_xlfn.CONCAT("  .color-",B56,"-",B58,"{","color: var(--",B56,"-",B58,");","}"))</f>
        <v xml:space="preserve">  .color-a5-lighter{color: var(--a5-lighter);}</v>
      </c>
      <c r="J58" s="48" t="str">
        <f t="shared" ref="J58" si="74">LOWER(_xlfn.CONCAT("  .bg-",B56,"-",B58,"{","background-color: var(--",B56,"-",B58,");","}"))</f>
        <v xml:space="preserve">  .bg-a5-lighter{background-color: var(--a5-lighter);}</v>
      </c>
      <c r="L58">
        <f t="shared" si="14"/>
        <v>4</v>
      </c>
      <c r="M58" t="str">
        <f>INDEX(tbl_Accent_RGBs9224[ID],L58,1)</f>
        <v>a4</v>
      </c>
      <c r="N58">
        <f>INDEX(tbl_Accent_RGBs9224[R],$L58,1)</f>
        <v>239</v>
      </c>
      <c r="O58">
        <f>INDEX(tbl_Accent_RGBs9224[G],$L58,1)</f>
        <v>235</v>
      </c>
      <c r="P58">
        <f>INDEX(tbl_Accent_RGBs9224[B],$L58,1)</f>
        <v>161</v>
      </c>
      <c r="Q58" s="57">
        <v>0.7</v>
      </c>
      <c r="R58" t="str">
        <f t="shared" si="3"/>
        <v xml:space="preserve">    --a4-70: rgba(239, 235, 161, 0.7);</v>
      </c>
      <c r="S58" t="str">
        <f t="shared" si="4"/>
        <v xml:space="preserve">  .bg-a4-70{background-color: var(--a4-70);}</v>
      </c>
    </row>
    <row r="59" spans="2:19" x14ac:dyDescent="0.45">
      <c r="B59" s="27" t="s">
        <v>27</v>
      </c>
      <c r="C59" s="48">
        <f>ROUND(255-((255-C60)*F59),0)</f>
        <v>206</v>
      </c>
      <c r="D59" s="48">
        <f>ROUND(255-((255-D60)*F59),0)</f>
        <v>243</v>
      </c>
      <c r="E59" s="48">
        <f>ROUND(255-((255-E60)*F59),0)</f>
        <v>185</v>
      </c>
      <c r="F59" s="47">
        <v>0.75</v>
      </c>
      <c r="H59" s="48" t="str">
        <f t="shared" ref="H59" si="75">LOWER(_xlfn.CONCAT("    --",B56,"-",B59,": rgba(",C59,", ",D59,", ",E59,", ","1.00",");"))</f>
        <v xml:space="preserve">    --a5-light: rgba(206, 243, 185, 1.00);</v>
      </c>
      <c r="I59" s="48" t="str">
        <f t="shared" ref="I59" si="76">LOWER(_xlfn.CONCAT("  .color-",B56,"-",B59,"{","color: var(--",B56,"-",B59,");","}"))</f>
        <v xml:space="preserve">  .color-a5-light{color: var(--a5-light);}</v>
      </c>
      <c r="J59" s="48" t="str">
        <f t="shared" ref="J59" si="77">LOWER(_xlfn.CONCAT("  .bg-",B56,"-",B59,"{","background-color: var(--",B56,"-",B59,");","}"))</f>
        <v xml:space="preserve">  .bg-a5-light{background-color: var(--a5-light);}</v>
      </c>
      <c r="L59">
        <f t="shared" si="14"/>
        <v>4</v>
      </c>
      <c r="M59" t="str">
        <f>INDEX(tbl_Accent_RGBs9224[ID],L59,1)</f>
        <v>a4</v>
      </c>
      <c r="N59">
        <f>INDEX(tbl_Accent_RGBs9224[R],$L59,1)</f>
        <v>239</v>
      </c>
      <c r="O59">
        <f>INDEX(tbl_Accent_RGBs9224[G],$L59,1)</f>
        <v>235</v>
      </c>
      <c r="P59">
        <f>INDEX(tbl_Accent_RGBs9224[B],$L59,1)</f>
        <v>161</v>
      </c>
      <c r="Q59" s="57">
        <v>0.8</v>
      </c>
      <c r="R59" t="str">
        <f t="shared" si="3"/>
        <v xml:space="preserve">    --a4-80: rgba(239, 235, 161, 0.8);</v>
      </c>
      <c r="S59" t="str">
        <f t="shared" si="4"/>
        <v xml:space="preserve">  .bg-a4-80{background-color: var(--a4-80);}</v>
      </c>
    </row>
    <row r="60" spans="2:19" x14ac:dyDescent="0.45">
      <c r="B60" s="27" t="s">
        <v>28</v>
      </c>
      <c r="C60" s="50">
        <f>VLOOKUP(B56,$B$3:$E$21,2,FALSE)</f>
        <v>189</v>
      </c>
      <c r="D60" s="50">
        <f>VLOOKUP(B56,$B$3:$E$21,3,FALSE)</f>
        <v>239</v>
      </c>
      <c r="E60" s="50">
        <f>VLOOKUP(B56,$B$3:$E$21,4,FALSE)</f>
        <v>161</v>
      </c>
      <c r="F60" s="47">
        <v>0</v>
      </c>
      <c r="H60" s="48" t="str">
        <f t="shared" ref="H60" si="78">LOWER(_xlfn.CONCAT("    --",B56,"-",B60,": rgba(",C60,", ",D60,", ",E60,", ","1.00",");"))</f>
        <v xml:space="preserve">    --a5-normal: rgba(189, 239, 161, 1.00);</v>
      </c>
      <c r="I60" s="48" t="str">
        <f t="shared" ref="I60" si="79">LOWER(_xlfn.CONCAT("  .color-",B56,"-",B60,"{","color: var(--",B56,"-",B60,");","}"))</f>
        <v xml:space="preserve">  .color-a5-normal{color: var(--a5-normal);}</v>
      </c>
      <c r="J60" s="48" t="str">
        <f t="shared" ref="J60" si="80">LOWER(_xlfn.CONCAT("  .bg-",B56,"-",B60,"{","background-color: var(--",B56,"-",B60,");","}"))</f>
        <v xml:space="preserve">  .bg-a5-normal{background-color: var(--a5-normal);}</v>
      </c>
      <c r="L60">
        <f t="shared" si="14"/>
        <v>4</v>
      </c>
      <c r="M60" t="str">
        <f>INDEX(tbl_Accent_RGBs9224[ID],L60,1)</f>
        <v>a4</v>
      </c>
      <c r="N60">
        <f>INDEX(tbl_Accent_RGBs9224[R],$L60,1)</f>
        <v>239</v>
      </c>
      <c r="O60">
        <f>INDEX(tbl_Accent_RGBs9224[G],$L60,1)</f>
        <v>235</v>
      </c>
      <c r="P60">
        <f>INDEX(tbl_Accent_RGBs9224[B],$L60,1)</f>
        <v>161</v>
      </c>
      <c r="Q60" s="57">
        <v>0.9</v>
      </c>
      <c r="R60" t="str">
        <f t="shared" si="3"/>
        <v xml:space="preserve">    --a4-90: rgba(239, 235, 161, 0.9);</v>
      </c>
      <c r="S60" t="str">
        <f t="shared" si="4"/>
        <v xml:space="preserve">  .bg-a4-90{background-color: var(--a4-90);}</v>
      </c>
    </row>
    <row r="61" spans="2:19" x14ac:dyDescent="0.45">
      <c r="B61" s="27" t="s">
        <v>29</v>
      </c>
      <c r="C61" s="48">
        <f>ROUND(C60*(1+F61),0)</f>
        <v>142</v>
      </c>
      <c r="D61" s="48">
        <f>ROUND(D60*(1+F61),0)</f>
        <v>179</v>
      </c>
      <c r="E61" s="48">
        <f>ROUND(E60*(1+F61),0)</f>
        <v>121</v>
      </c>
      <c r="F61" s="47">
        <v>-0.25</v>
      </c>
      <c r="H61" s="48" t="str">
        <f t="shared" ref="H61" si="81">LOWER(_xlfn.CONCAT("    --",B56,"-",B61,": rgba(",C61,", ",D61,", ",E61,", ","1.00",");"))</f>
        <v xml:space="preserve">    --a5-dark: rgba(142, 179, 121, 1.00);</v>
      </c>
      <c r="I61" s="48" t="str">
        <f t="shared" ref="I61" si="82">LOWER(_xlfn.CONCAT("  .color-",B56,"-",B61,"{","color: var(--",B56,"-",B61,");","}"))</f>
        <v xml:space="preserve">  .color-a5-dark{color: var(--a5-dark);}</v>
      </c>
      <c r="J61" s="48" t="str">
        <f t="shared" ref="J61" si="83">LOWER(_xlfn.CONCAT("  .bg-",B56,"-",B61,"{","background-color: var(--",B56,"-",B61,");","}"))</f>
        <v xml:space="preserve">  .bg-a5-dark{background-color: var(--a5-dark);}</v>
      </c>
      <c r="L61">
        <f t="shared" si="14"/>
        <v>5</v>
      </c>
      <c r="M61" t="str">
        <f>INDEX(tbl_Accent_RGBs9224[ID],L61,1)</f>
        <v>a5</v>
      </c>
      <c r="N61">
        <f>INDEX(tbl_Accent_RGBs9224[R],$L61,1)</f>
        <v>189</v>
      </c>
      <c r="O61">
        <f>INDEX(tbl_Accent_RGBs9224[G],$L61,1)</f>
        <v>239</v>
      </c>
      <c r="P61">
        <f>INDEX(tbl_Accent_RGBs9224[B],$L61,1)</f>
        <v>161</v>
      </c>
      <c r="Q61" s="57">
        <v>0.1</v>
      </c>
      <c r="R61" t="str">
        <f t="shared" si="3"/>
        <v xml:space="preserve">    --a5-10: rgba(189, 239, 161, 0.1);</v>
      </c>
      <c r="S61" t="str">
        <f t="shared" si="4"/>
        <v xml:space="preserve">  .bg-a5-10{background-color: var(--a5-10);}</v>
      </c>
    </row>
    <row r="62" spans="2:19" x14ac:dyDescent="0.45">
      <c r="B62" s="27" t="s">
        <v>30</v>
      </c>
      <c r="C62" s="48">
        <f>ROUND(C60*(1+F62),0)</f>
        <v>95</v>
      </c>
      <c r="D62" s="48">
        <f>ROUND(D60*(1+F62),0)</f>
        <v>120</v>
      </c>
      <c r="E62" s="48">
        <f>ROUND(E60*(1+F62),0)</f>
        <v>81</v>
      </c>
      <c r="F62" s="47">
        <v>-0.5</v>
      </c>
      <c r="H62" s="48" t="str">
        <f t="shared" ref="H62" si="84">LOWER(_xlfn.CONCAT("    --",B56,"-",B62,": rgba(",C62,", ",D62,", ",E62,", ","1.00",");"))</f>
        <v xml:space="preserve">    --a5-darker: rgba(95, 120, 81, 1.00);</v>
      </c>
      <c r="I62" s="48" t="str">
        <f t="shared" ref="I62" si="85">LOWER(_xlfn.CONCAT("  .color-",B56,"-",B62,"{","color: var(--",B56,"-",B62,");","}"))</f>
        <v xml:space="preserve">  .color-a5-darker{color: var(--a5-darker);}</v>
      </c>
      <c r="J62" s="48" t="str">
        <f t="shared" ref="J62" si="86">LOWER(_xlfn.CONCAT("  .bg-",B56,"-",B62,"{","background-color: var(--",B56,"-",B62,");","}"))</f>
        <v xml:space="preserve">  .bg-a5-darker{background-color: var(--a5-darker);}</v>
      </c>
      <c r="L62">
        <f t="shared" si="14"/>
        <v>5</v>
      </c>
      <c r="M62" t="str">
        <f>INDEX(tbl_Accent_RGBs9224[ID],L62,1)</f>
        <v>a5</v>
      </c>
      <c r="N62">
        <f>INDEX(tbl_Accent_RGBs9224[R],$L62,1)</f>
        <v>189</v>
      </c>
      <c r="O62">
        <f>INDEX(tbl_Accent_RGBs9224[G],$L62,1)</f>
        <v>239</v>
      </c>
      <c r="P62">
        <f>INDEX(tbl_Accent_RGBs9224[B],$L62,1)</f>
        <v>161</v>
      </c>
      <c r="Q62" s="57">
        <v>0.2</v>
      </c>
      <c r="R62" t="str">
        <f t="shared" si="3"/>
        <v xml:space="preserve">    --a5-20: rgba(189, 239, 161, 0.2);</v>
      </c>
      <c r="S62" t="str">
        <f t="shared" si="4"/>
        <v xml:space="preserve">  .bg-a5-20{background-color: var(--a5-20);}</v>
      </c>
    </row>
    <row r="63" spans="2:19" x14ac:dyDescent="0.45">
      <c r="B63" s="27" t="s">
        <v>31</v>
      </c>
      <c r="C63" s="48">
        <f>ROUND(C60*(1+F63),0)</f>
        <v>47</v>
      </c>
      <c r="D63" s="48">
        <f>ROUND(D60*(1+F63),0)</f>
        <v>60</v>
      </c>
      <c r="E63" s="48">
        <f>ROUND(E60*(1+F63),0)</f>
        <v>40</v>
      </c>
      <c r="F63" s="47">
        <v>-0.75</v>
      </c>
      <c r="H63" s="48" t="str">
        <f t="shared" ref="H63" si="87">LOWER(_xlfn.CONCAT("    --",B56,"-",B63,": rgba(",C63,", ",D63,", ",E63,", ","1.00",");"))</f>
        <v xml:space="preserve">    --a5-darkest: rgba(47, 60, 40, 1.00);</v>
      </c>
      <c r="I63" s="48" t="str">
        <f t="shared" ref="I63" si="88">LOWER(_xlfn.CONCAT("  .color-",B56,"-",B63,"{","color: var(--",B56,"-",B63,");","}"))</f>
        <v xml:space="preserve">  .color-a5-darkest{color: var(--a5-darkest);}</v>
      </c>
      <c r="J63" s="48" t="str">
        <f t="shared" ref="J63" si="89">LOWER(_xlfn.CONCAT("  .bg-",B56,"-",B63,"{","background-color: var(--",B56,"-",B63,");","}"))</f>
        <v xml:space="preserve">  .bg-a5-darkest{background-color: var(--a5-darkest);}</v>
      </c>
      <c r="L63">
        <f t="shared" si="14"/>
        <v>5</v>
      </c>
      <c r="M63" t="str">
        <f>INDEX(tbl_Accent_RGBs9224[ID],L63,1)</f>
        <v>a5</v>
      </c>
      <c r="N63">
        <f>INDEX(tbl_Accent_RGBs9224[R],$L63,1)</f>
        <v>189</v>
      </c>
      <c r="O63">
        <f>INDEX(tbl_Accent_RGBs9224[G],$L63,1)</f>
        <v>239</v>
      </c>
      <c r="P63">
        <f>INDEX(tbl_Accent_RGBs9224[B],$L63,1)</f>
        <v>161</v>
      </c>
      <c r="Q63" s="57">
        <v>0.3</v>
      </c>
      <c r="R63" t="str">
        <f t="shared" si="3"/>
        <v xml:space="preserve">    --a5-30: rgba(189, 239, 161, 0.3);</v>
      </c>
      <c r="S63" t="str">
        <f t="shared" si="4"/>
        <v xml:space="preserve">  .bg-a5-30{background-color: var(--a5-30);}</v>
      </c>
    </row>
    <row r="64" spans="2:19" x14ac:dyDescent="0.45">
      <c r="B64" s="46" t="s">
        <v>43</v>
      </c>
      <c r="C64" s="49" t="s">
        <v>33</v>
      </c>
      <c r="D64" s="49" t="s">
        <v>34</v>
      </c>
      <c r="E64" s="49" t="s">
        <v>35</v>
      </c>
      <c r="F64" s="49" t="s">
        <v>36</v>
      </c>
      <c r="H64" s="49"/>
      <c r="I64" s="49"/>
      <c r="J64" s="49"/>
      <c r="L64">
        <f t="shared" si="14"/>
        <v>5</v>
      </c>
      <c r="M64" t="str">
        <f>INDEX(tbl_Accent_RGBs9224[ID],L64,1)</f>
        <v>a5</v>
      </c>
      <c r="N64">
        <f>INDEX(tbl_Accent_RGBs9224[R],$L64,1)</f>
        <v>189</v>
      </c>
      <c r="O64">
        <f>INDEX(tbl_Accent_RGBs9224[G],$L64,1)</f>
        <v>239</v>
      </c>
      <c r="P64">
        <f>INDEX(tbl_Accent_RGBs9224[B],$L64,1)</f>
        <v>161</v>
      </c>
      <c r="Q64" s="57">
        <v>0.4</v>
      </c>
      <c r="R64" t="str">
        <f t="shared" si="3"/>
        <v xml:space="preserve">    --a5-40: rgba(189, 239, 161, 0.4);</v>
      </c>
      <c r="S64" t="str">
        <f t="shared" si="4"/>
        <v xml:space="preserve">  .bg-a5-40{background-color: var(--a5-40);}</v>
      </c>
    </row>
    <row r="65" spans="2:19" x14ac:dyDescent="0.45">
      <c r="B65" s="27" t="s">
        <v>25</v>
      </c>
      <c r="C65" s="48">
        <f>ROUND(255-((255-C68)*F65),0)</f>
        <v>232</v>
      </c>
      <c r="D65" s="48">
        <f>ROUND(255-((255-D68)*F65),0)</f>
        <v>247</v>
      </c>
      <c r="E65" s="48">
        <f>ROUND(255-((255-E68)*F65),0)</f>
        <v>251</v>
      </c>
      <c r="F65" s="47">
        <v>0.25</v>
      </c>
      <c r="H65" s="48" t="str">
        <f t="shared" ref="H65" si="90">LOWER(_xlfn.CONCAT("    --",B64,"-",B65,": rgba(",C65,", ",D65,", ",E65,", ","1.00",");"))</f>
        <v xml:space="preserve">    --a6-lightest: rgba(232, 247, 251, 1.00);</v>
      </c>
      <c r="I65" s="48" t="str">
        <f t="shared" ref="I65" si="91">LOWER(_xlfn.CONCAT("  .color-",B64,"-",B65,"{","color: var(--",B64,"-",B65,");","}"))</f>
        <v xml:space="preserve">  .color-a6-lightest{color: var(--a6-lightest);}</v>
      </c>
      <c r="J65" s="48" t="str">
        <f t="shared" ref="J65" si="92">LOWER(_xlfn.CONCAT("  .bg-",B64,"-",B65,"{","background-color: var(--",B64,"-",B65,");","}"))</f>
        <v xml:space="preserve">  .bg-a6-lightest{background-color: var(--a6-lightest);}</v>
      </c>
      <c r="L65">
        <f t="shared" si="14"/>
        <v>5</v>
      </c>
      <c r="M65" t="str">
        <f>INDEX(tbl_Accent_RGBs9224[ID],L65,1)</f>
        <v>a5</v>
      </c>
      <c r="N65">
        <f>INDEX(tbl_Accent_RGBs9224[R],$L65,1)</f>
        <v>189</v>
      </c>
      <c r="O65">
        <f>INDEX(tbl_Accent_RGBs9224[G],$L65,1)</f>
        <v>239</v>
      </c>
      <c r="P65">
        <f>INDEX(tbl_Accent_RGBs9224[B],$L65,1)</f>
        <v>161</v>
      </c>
      <c r="Q65" s="57">
        <v>0.5</v>
      </c>
      <c r="R65" t="str">
        <f t="shared" si="3"/>
        <v xml:space="preserve">    --a5-50: rgba(189, 239, 161, 0.5);</v>
      </c>
      <c r="S65" t="str">
        <f t="shared" si="4"/>
        <v xml:space="preserve">  .bg-a5-50{background-color: var(--a5-50);}</v>
      </c>
    </row>
    <row r="66" spans="2:19" x14ac:dyDescent="0.45">
      <c r="B66" s="27" t="s">
        <v>26</v>
      </c>
      <c r="C66" s="48">
        <f>ROUND(255-((255-C68)*F66),0)</f>
        <v>208</v>
      </c>
      <c r="D66" s="48">
        <f>ROUND(255-((255-D68)*F66),0)</f>
        <v>239</v>
      </c>
      <c r="E66" s="48">
        <f>ROUND(255-((255-E68)*F66),0)</f>
        <v>247</v>
      </c>
      <c r="F66" s="47">
        <v>0.5</v>
      </c>
      <c r="H66" s="48" t="str">
        <f t="shared" ref="H66" si="93">LOWER(_xlfn.CONCAT("    --",B64,"-",B66,": rgba(",C66,", ",D66,", ",E66,", ","1.00",");"))</f>
        <v xml:space="preserve">    --a6-lighter: rgba(208, 239, 247, 1.00);</v>
      </c>
      <c r="I66" s="48" t="str">
        <f t="shared" ref="I66" si="94">LOWER(_xlfn.CONCAT("  .color-",B64,"-",B66,"{","color: var(--",B64,"-",B66,");","}"))</f>
        <v xml:space="preserve">  .color-a6-lighter{color: var(--a6-lighter);}</v>
      </c>
      <c r="J66" s="48" t="str">
        <f t="shared" ref="J66" si="95">LOWER(_xlfn.CONCAT("  .bg-",B64,"-",B66,"{","background-color: var(--",B64,"-",B66,");","}"))</f>
        <v xml:space="preserve">  .bg-a6-lighter{background-color: var(--a6-lighter);}</v>
      </c>
      <c r="L66">
        <f t="shared" si="14"/>
        <v>5</v>
      </c>
      <c r="M66" t="str">
        <f>INDEX(tbl_Accent_RGBs9224[ID],L66,1)</f>
        <v>a5</v>
      </c>
      <c r="N66">
        <f>INDEX(tbl_Accent_RGBs9224[R],$L66,1)</f>
        <v>189</v>
      </c>
      <c r="O66">
        <f>INDEX(tbl_Accent_RGBs9224[G],$L66,1)</f>
        <v>239</v>
      </c>
      <c r="P66">
        <f>INDEX(tbl_Accent_RGBs9224[B],$L66,1)</f>
        <v>161</v>
      </c>
      <c r="Q66" s="57">
        <v>0.6</v>
      </c>
      <c r="R66" t="str">
        <f t="shared" si="3"/>
        <v xml:space="preserve">    --a5-60: rgba(189, 239, 161, 0.6);</v>
      </c>
      <c r="S66" t="str">
        <f t="shared" si="4"/>
        <v xml:space="preserve">  .bg-a5-60{background-color: var(--a5-60);}</v>
      </c>
    </row>
    <row r="67" spans="2:19" x14ac:dyDescent="0.45">
      <c r="B67" s="27" t="s">
        <v>27</v>
      </c>
      <c r="C67" s="48">
        <f>ROUND(255-((255-C68)*F67),0)</f>
        <v>185</v>
      </c>
      <c r="D67" s="48">
        <f>ROUND(255-((255-D68)*F67),0)</f>
        <v>230</v>
      </c>
      <c r="E67" s="48">
        <f>ROUND(255-((255-E68)*F67),0)</f>
        <v>243</v>
      </c>
      <c r="F67" s="47">
        <v>0.75</v>
      </c>
      <c r="H67" s="48" t="str">
        <f t="shared" ref="H67" si="96">LOWER(_xlfn.CONCAT("    --",B64,"-",B67,": rgba(",C67,", ",D67,", ",E67,", ","1.00",");"))</f>
        <v xml:space="preserve">    --a6-light: rgba(185, 230, 243, 1.00);</v>
      </c>
      <c r="I67" s="48" t="str">
        <f t="shared" ref="I67" si="97">LOWER(_xlfn.CONCAT("  .color-",B64,"-",B67,"{","color: var(--",B64,"-",B67,");","}"))</f>
        <v xml:space="preserve">  .color-a6-light{color: var(--a6-light);}</v>
      </c>
      <c r="J67" s="48" t="str">
        <f t="shared" ref="J67" si="98">LOWER(_xlfn.CONCAT("  .bg-",B64,"-",B67,"{","background-color: var(--",B64,"-",B67,");","}"))</f>
        <v xml:space="preserve">  .bg-a6-light{background-color: var(--a6-light);}</v>
      </c>
      <c r="L67">
        <f t="shared" si="14"/>
        <v>5</v>
      </c>
      <c r="M67" t="str">
        <f>INDEX(tbl_Accent_RGBs9224[ID],L67,1)</f>
        <v>a5</v>
      </c>
      <c r="N67">
        <f>INDEX(tbl_Accent_RGBs9224[R],$L67,1)</f>
        <v>189</v>
      </c>
      <c r="O67">
        <f>INDEX(tbl_Accent_RGBs9224[G],$L67,1)</f>
        <v>239</v>
      </c>
      <c r="P67">
        <f>INDEX(tbl_Accent_RGBs9224[B],$L67,1)</f>
        <v>161</v>
      </c>
      <c r="Q67" s="57">
        <v>0.7</v>
      </c>
      <c r="R67" t="str">
        <f t="shared" si="3"/>
        <v xml:space="preserve">    --a5-70: rgba(189, 239, 161, 0.7);</v>
      </c>
      <c r="S67" t="str">
        <f t="shared" si="4"/>
        <v xml:space="preserve">  .bg-a5-70{background-color: var(--a5-70);}</v>
      </c>
    </row>
    <row r="68" spans="2:19" x14ac:dyDescent="0.45">
      <c r="B68" s="27" t="s">
        <v>28</v>
      </c>
      <c r="C68" s="50">
        <f>VLOOKUP(B64,$B$3:$E$21,2,FALSE)</f>
        <v>161</v>
      </c>
      <c r="D68" s="50">
        <f>VLOOKUP(B64,$B$3:$E$21,3,FALSE)</f>
        <v>222</v>
      </c>
      <c r="E68" s="50">
        <f>VLOOKUP(B64,$B$3:$E$21,4,FALSE)</f>
        <v>239</v>
      </c>
      <c r="F68" s="47">
        <v>0</v>
      </c>
      <c r="H68" s="48" t="str">
        <f t="shared" ref="H68" si="99">LOWER(_xlfn.CONCAT("    --",B64,"-",B68,": rgba(",C68,", ",D68,", ",E68,", ","1.00",");"))</f>
        <v xml:space="preserve">    --a6-normal: rgba(161, 222, 239, 1.00);</v>
      </c>
      <c r="I68" s="48" t="str">
        <f t="shared" ref="I68" si="100">LOWER(_xlfn.CONCAT("  .color-",B64,"-",B68,"{","color: var(--",B64,"-",B68,");","}"))</f>
        <v xml:space="preserve">  .color-a6-normal{color: var(--a6-normal);}</v>
      </c>
      <c r="J68" s="48" t="str">
        <f t="shared" ref="J68" si="101">LOWER(_xlfn.CONCAT("  .bg-",B64,"-",B68,"{","background-color: var(--",B64,"-",B68,");","}"))</f>
        <v xml:space="preserve">  .bg-a6-normal{background-color: var(--a6-normal);}</v>
      </c>
      <c r="L68">
        <f t="shared" si="14"/>
        <v>5</v>
      </c>
      <c r="M68" t="str">
        <f>INDEX(tbl_Accent_RGBs9224[ID],L68,1)</f>
        <v>a5</v>
      </c>
      <c r="N68">
        <f>INDEX(tbl_Accent_RGBs9224[R],$L68,1)</f>
        <v>189</v>
      </c>
      <c r="O68">
        <f>INDEX(tbl_Accent_RGBs9224[G],$L68,1)</f>
        <v>239</v>
      </c>
      <c r="P68">
        <f>INDEX(tbl_Accent_RGBs9224[B],$L68,1)</f>
        <v>161</v>
      </c>
      <c r="Q68" s="57">
        <v>0.8</v>
      </c>
      <c r="R68" t="str">
        <f t="shared" si="3"/>
        <v xml:space="preserve">    --a5-80: rgba(189, 239, 161, 0.8);</v>
      </c>
      <c r="S68" t="str">
        <f t="shared" si="4"/>
        <v xml:space="preserve">  .bg-a5-80{background-color: var(--a5-80);}</v>
      </c>
    </row>
    <row r="69" spans="2:19" x14ac:dyDescent="0.45">
      <c r="B69" s="27" t="s">
        <v>29</v>
      </c>
      <c r="C69" s="48">
        <f>ROUND(C68*(1+F69),0)</f>
        <v>121</v>
      </c>
      <c r="D69" s="48">
        <f>ROUND(D68*(1+F69),0)</f>
        <v>167</v>
      </c>
      <c r="E69" s="48">
        <f>ROUND(E68*(1+F69),0)</f>
        <v>179</v>
      </c>
      <c r="F69" s="47">
        <v>-0.25</v>
      </c>
      <c r="H69" s="48" t="str">
        <f t="shared" ref="H69" si="102">LOWER(_xlfn.CONCAT("    --",B64,"-",B69,": rgba(",C69,", ",D69,", ",E69,", ","1.00",");"))</f>
        <v xml:space="preserve">    --a6-dark: rgba(121, 167, 179, 1.00);</v>
      </c>
      <c r="I69" s="48" t="str">
        <f t="shared" ref="I69" si="103">LOWER(_xlfn.CONCAT("  .color-",B64,"-",B69,"{","color: var(--",B64,"-",B69,");","}"))</f>
        <v xml:space="preserve">  .color-a6-dark{color: var(--a6-dark);}</v>
      </c>
      <c r="J69" s="48" t="str">
        <f t="shared" ref="J69" si="104">LOWER(_xlfn.CONCAT("  .bg-",B64,"-",B69,"{","background-color: var(--",B64,"-",B69,");","}"))</f>
        <v xml:space="preserve">  .bg-a6-dark{background-color: var(--a6-dark);}</v>
      </c>
      <c r="L69">
        <f t="shared" si="14"/>
        <v>5</v>
      </c>
      <c r="M69" t="str">
        <f>INDEX(tbl_Accent_RGBs9224[ID],L69,1)</f>
        <v>a5</v>
      </c>
      <c r="N69">
        <f>INDEX(tbl_Accent_RGBs9224[R],$L69,1)</f>
        <v>189</v>
      </c>
      <c r="O69">
        <f>INDEX(tbl_Accent_RGBs9224[G],$L69,1)</f>
        <v>239</v>
      </c>
      <c r="P69">
        <f>INDEX(tbl_Accent_RGBs9224[B],$L69,1)</f>
        <v>161</v>
      </c>
      <c r="Q69" s="57">
        <v>0.9</v>
      </c>
      <c r="R69" t="str">
        <f t="shared" si="3"/>
        <v xml:space="preserve">    --a5-90: rgba(189, 239, 161, 0.9);</v>
      </c>
      <c r="S69" t="str">
        <f t="shared" si="4"/>
        <v xml:space="preserve">  .bg-a5-90{background-color: var(--a5-90);}</v>
      </c>
    </row>
    <row r="70" spans="2:19" x14ac:dyDescent="0.45">
      <c r="B70" s="27" t="s">
        <v>30</v>
      </c>
      <c r="C70" s="48">
        <f>ROUND(C68*(1+F70),0)</f>
        <v>81</v>
      </c>
      <c r="D70" s="48">
        <f>ROUND(D68*(1+F70),0)</f>
        <v>111</v>
      </c>
      <c r="E70" s="48">
        <f>ROUND(E68*(1+F70),0)</f>
        <v>120</v>
      </c>
      <c r="F70" s="47">
        <v>-0.5</v>
      </c>
      <c r="H70" s="48" t="str">
        <f t="shared" ref="H70" si="105">LOWER(_xlfn.CONCAT("    --",B64,"-",B70,": rgba(",C70,", ",D70,", ",E70,", ","1.00",");"))</f>
        <v xml:space="preserve">    --a6-darker: rgba(81, 111, 120, 1.00);</v>
      </c>
      <c r="I70" s="48" t="str">
        <f t="shared" ref="I70" si="106">LOWER(_xlfn.CONCAT("  .color-",B64,"-",B70,"{","color: var(--",B64,"-",B70,");","}"))</f>
        <v xml:space="preserve">  .color-a6-darker{color: var(--a6-darker);}</v>
      </c>
      <c r="J70" s="48" t="str">
        <f t="shared" ref="J70" si="107">LOWER(_xlfn.CONCAT("  .bg-",B64,"-",B70,"{","background-color: var(--",B64,"-",B70,");","}"))</f>
        <v xml:space="preserve">  .bg-a6-darker{background-color: var(--a6-darker);}</v>
      </c>
      <c r="L70">
        <f t="shared" si="14"/>
        <v>6</v>
      </c>
      <c r="M70" t="str">
        <f>INDEX(tbl_Accent_RGBs9224[ID],L70,1)</f>
        <v>a6</v>
      </c>
      <c r="N70">
        <f>INDEX(tbl_Accent_RGBs9224[R],$L70,1)</f>
        <v>161</v>
      </c>
      <c r="O70">
        <f>INDEX(tbl_Accent_RGBs9224[G],$L70,1)</f>
        <v>222</v>
      </c>
      <c r="P70">
        <f>INDEX(tbl_Accent_RGBs9224[B],$L70,1)</f>
        <v>239</v>
      </c>
      <c r="Q70" s="57">
        <v>0.1</v>
      </c>
      <c r="R70" t="str">
        <f t="shared" si="3"/>
        <v xml:space="preserve">    --a6-10: rgba(161, 222, 239, 0.1);</v>
      </c>
      <c r="S70" t="str">
        <f t="shared" si="4"/>
        <v xml:space="preserve">  .bg-a6-10{background-color: var(--a6-10);}</v>
      </c>
    </row>
    <row r="71" spans="2:19" x14ac:dyDescent="0.45">
      <c r="B71" s="27" t="s">
        <v>31</v>
      </c>
      <c r="C71" s="48">
        <f>ROUND(C68*(1+F71),0)</f>
        <v>40</v>
      </c>
      <c r="D71" s="48">
        <f>ROUND(D68*(1+F71),0)</f>
        <v>56</v>
      </c>
      <c r="E71" s="48">
        <f>ROUND(E68*(1+F71),0)</f>
        <v>60</v>
      </c>
      <c r="F71" s="47">
        <v>-0.75</v>
      </c>
      <c r="H71" s="48" t="str">
        <f t="shared" ref="H71" si="108">LOWER(_xlfn.CONCAT("    --",B64,"-",B71,": rgba(",C71,", ",D71,", ",E71,", ","1.00",");"))</f>
        <v xml:space="preserve">    --a6-darkest: rgba(40, 56, 60, 1.00);</v>
      </c>
      <c r="I71" s="48" t="str">
        <f t="shared" ref="I71" si="109">LOWER(_xlfn.CONCAT("  .color-",B64,"-",B71,"{","color: var(--",B64,"-",B71,");","}"))</f>
        <v xml:space="preserve">  .color-a6-darkest{color: var(--a6-darkest);}</v>
      </c>
      <c r="J71" s="48" t="str">
        <f t="shared" ref="J71" si="110">LOWER(_xlfn.CONCAT("  .bg-",B64,"-",B71,"{","background-color: var(--",B64,"-",B71,");","}"))</f>
        <v xml:space="preserve">  .bg-a6-darkest{background-color: var(--a6-darkest);}</v>
      </c>
      <c r="L71">
        <f t="shared" si="14"/>
        <v>6</v>
      </c>
      <c r="M71" t="str">
        <f>INDEX(tbl_Accent_RGBs9224[ID],L71,1)</f>
        <v>a6</v>
      </c>
      <c r="N71">
        <f>INDEX(tbl_Accent_RGBs9224[R],$L71,1)</f>
        <v>161</v>
      </c>
      <c r="O71">
        <f>INDEX(tbl_Accent_RGBs9224[G],$L71,1)</f>
        <v>222</v>
      </c>
      <c r="P71">
        <f>INDEX(tbl_Accent_RGBs9224[B],$L71,1)</f>
        <v>239</v>
      </c>
      <c r="Q71" s="57">
        <v>0.2</v>
      </c>
      <c r="R71" t="str">
        <f t="shared" si="3"/>
        <v xml:space="preserve">    --a6-20: rgba(161, 222, 239, 0.2);</v>
      </c>
      <c r="S71" t="str">
        <f t="shared" si="4"/>
        <v xml:space="preserve">  .bg-a6-20{background-color: var(--a6-20);}</v>
      </c>
    </row>
    <row r="72" spans="2:19" x14ac:dyDescent="0.45">
      <c r="B72" s="46" t="s">
        <v>44</v>
      </c>
      <c r="C72" s="49" t="s">
        <v>33</v>
      </c>
      <c r="D72" s="49" t="s">
        <v>34</v>
      </c>
      <c r="E72" s="49" t="s">
        <v>35</v>
      </c>
      <c r="F72" s="49" t="s">
        <v>36</v>
      </c>
      <c r="H72" s="49"/>
      <c r="I72" s="49"/>
      <c r="J72" s="49"/>
      <c r="L72">
        <f t="shared" si="14"/>
        <v>6</v>
      </c>
      <c r="M72" t="str">
        <f>INDEX(tbl_Accent_RGBs9224[ID],L72,1)</f>
        <v>a6</v>
      </c>
      <c r="N72">
        <f>INDEX(tbl_Accent_RGBs9224[R],$L72,1)</f>
        <v>161</v>
      </c>
      <c r="O72">
        <f>INDEX(tbl_Accent_RGBs9224[G],$L72,1)</f>
        <v>222</v>
      </c>
      <c r="P72">
        <f>INDEX(tbl_Accent_RGBs9224[B],$L72,1)</f>
        <v>239</v>
      </c>
      <c r="Q72" s="57">
        <v>0.3</v>
      </c>
      <c r="R72" t="str">
        <f t="shared" si="3"/>
        <v xml:space="preserve">    --a6-30: rgba(161, 222, 239, 0.3);</v>
      </c>
      <c r="S72" t="str">
        <f t="shared" si="4"/>
        <v xml:space="preserve">  .bg-a6-30{background-color: var(--a6-30);}</v>
      </c>
    </row>
    <row r="73" spans="2:19" x14ac:dyDescent="0.45">
      <c r="B73" s="27" t="s">
        <v>25</v>
      </c>
      <c r="C73" s="48">
        <f>ROUND(255-((255-C76)*F73),0)</f>
        <v>232</v>
      </c>
      <c r="D73" s="48">
        <f>ROUND(255-((255-D76)*F73),0)</f>
        <v>243</v>
      </c>
      <c r="E73" s="48">
        <f>ROUND(255-((255-E76)*F73),0)</f>
        <v>251</v>
      </c>
      <c r="F73" s="47">
        <v>0.25</v>
      </c>
      <c r="H73" s="48" t="str">
        <f t="shared" ref="H73" si="111">LOWER(_xlfn.CONCAT("    --",B72,"-",B73,": rgba(",C73,", ",D73,", ",E73,", ","1.00",");"))</f>
        <v xml:space="preserve">    --a7-lightest: rgba(232, 243, 251, 1.00);</v>
      </c>
      <c r="I73" s="48" t="str">
        <f t="shared" ref="I73" si="112">LOWER(_xlfn.CONCAT("  .color-",B72,"-",B73,"{","color: var(--",B72,"-",B73,");","}"))</f>
        <v xml:space="preserve">  .color-a7-lightest{color: var(--a7-lightest);}</v>
      </c>
      <c r="J73" s="48" t="str">
        <f t="shared" ref="J73" si="113">LOWER(_xlfn.CONCAT("  .bg-",B72,"-",B73,"{","background-color: var(--",B72,"-",B73,");","}"))</f>
        <v xml:space="preserve">  .bg-a7-lightest{background-color: var(--a7-lightest);}</v>
      </c>
      <c r="L73">
        <f t="shared" si="14"/>
        <v>6</v>
      </c>
      <c r="M73" t="str">
        <f>INDEX(tbl_Accent_RGBs9224[ID],L73,1)</f>
        <v>a6</v>
      </c>
      <c r="N73">
        <f>INDEX(tbl_Accent_RGBs9224[R],$L73,1)</f>
        <v>161</v>
      </c>
      <c r="O73">
        <f>INDEX(tbl_Accent_RGBs9224[G],$L73,1)</f>
        <v>222</v>
      </c>
      <c r="P73">
        <f>INDEX(tbl_Accent_RGBs9224[B],$L73,1)</f>
        <v>239</v>
      </c>
      <c r="Q73" s="57">
        <v>0.4</v>
      </c>
      <c r="R73" t="str">
        <f t="shared" si="3"/>
        <v xml:space="preserve">    --a6-40: rgba(161, 222, 239, 0.4);</v>
      </c>
      <c r="S73" t="str">
        <f t="shared" si="4"/>
        <v xml:space="preserve">  .bg-a6-40{background-color: var(--a6-40);}</v>
      </c>
    </row>
    <row r="74" spans="2:19" x14ac:dyDescent="0.45">
      <c r="B74" s="27" t="s">
        <v>26</v>
      </c>
      <c r="C74" s="48">
        <f>ROUND(255-((255-C76)*F74),0)</f>
        <v>208</v>
      </c>
      <c r="D74" s="48">
        <f>ROUND(255-((255-D76)*F74),0)</f>
        <v>231</v>
      </c>
      <c r="E74" s="48">
        <f>ROUND(255-((255-E76)*F74),0)</f>
        <v>247</v>
      </c>
      <c r="F74" s="47">
        <v>0.5</v>
      </c>
      <c r="H74" s="48" t="str">
        <f t="shared" ref="H74" si="114">LOWER(_xlfn.CONCAT("    --",B72,"-",B74,": rgba(",C74,", ",D74,", ",E74,", ","1.00",");"))</f>
        <v xml:space="preserve">    --a7-lighter: rgba(208, 231, 247, 1.00);</v>
      </c>
      <c r="I74" s="48" t="str">
        <f t="shared" ref="I74" si="115">LOWER(_xlfn.CONCAT("  .color-",B72,"-",B74,"{","color: var(--",B72,"-",B74,");","}"))</f>
        <v xml:space="preserve">  .color-a7-lighter{color: var(--a7-lighter);}</v>
      </c>
      <c r="J74" s="48" t="str">
        <f t="shared" ref="J74" si="116">LOWER(_xlfn.CONCAT("  .bg-",B72,"-",B74,"{","background-color: var(--",B72,"-",B74,");","}"))</f>
        <v xml:space="preserve">  .bg-a7-lighter{background-color: var(--a7-lighter);}</v>
      </c>
      <c r="L74">
        <f t="shared" si="14"/>
        <v>6</v>
      </c>
      <c r="M74" t="str">
        <f>INDEX(tbl_Accent_RGBs9224[ID],L74,1)</f>
        <v>a6</v>
      </c>
      <c r="N74">
        <f>INDEX(tbl_Accent_RGBs9224[R],$L74,1)</f>
        <v>161</v>
      </c>
      <c r="O74">
        <f>INDEX(tbl_Accent_RGBs9224[G],$L74,1)</f>
        <v>222</v>
      </c>
      <c r="P74">
        <f>INDEX(tbl_Accent_RGBs9224[B],$L74,1)</f>
        <v>239</v>
      </c>
      <c r="Q74" s="57">
        <v>0.5</v>
      </c>
      <c r="R74" t="str">
        <f t="shared" si="3"/>
        <v xml:space="preserve">    --a6-50: rgba(161, 222, 239, 0.5);</v>
      </c>
      <c r="S74" t="str">
        <f t="shared" si="4"/>
        <v xml:space="preserve">  .bg-a6-50{background-color: var(--a6-50);}</v>
      </c>
    </row>
    <row r="75" spans="2:19" x14ac:dyDescent="0.45">
      <c r="B75" s="27" t="s">
        <v>27</v>
      </c>
      <c r="C75" s="48">
        <f>ROUND(255-((255-C76)*F75),0)</f>
        <v>185</v>
      </c>
      <c r="D75" s="48">
        <f>ROUND(255-((255-D76)*F75),0)</f>
        <v>219</v>
      </c>
      <c r="E75" s="48">
        <f>ROUND(255-((255-E76)*F75),0)</f>
        <v>243</v>
      </c>
      <c r="F75" s="47">
        <v>0.75</v>
      </c>
      <c r="H75" s="48" t="str">
        <f t="shared" ref="H75" si="117">LOWER(_xlfn.CONCAT("    --",B72,"-",B75,": rgba(",C75,", ",D75,", ",E75,", ","1.00",");"))</f>
        <v xml:space="preserve">    --a7-light: rgba(185, 219, 243, 1.00);</v>
      </c>
      <c r="I75" s="48" t="str">
        <f t="shared" ref="I75" si="118">LOWER(_xlfn.CONCAT("  .color-",B72,"-",B75,"{","color: var(--",B72,"-",B75,");","}"))</f>
        <v xml:space="preserve">  .color-a7-light{color: var(--a7-light);}</v>
      </c>
      <c r="J75" s="48" t="str">
        <f t="shared" ref="J75" si="119">LOWER(_xlfn.CONCAT("  .bg-",B72,"-",B75,"{","background-color: var(--",B72,"-",B75,");","}"))</f>
        <v xml:space="preserve">  .bg-a7-light{background-color: var(--a7-light);}</v>
      </c>
      <c r="L75">
        <f t="shared" si="14"/>
        <v>6</v>
      </c>
      <c r="M75" t="str">
        <f>INDEX(tbl_Accent_RGBs9224[ID],L75,1)</f>
        <v>a6</v>
      </c>
      <c r="N75">
        <f>INDEX(tbl_Accent_RGBs9224[R],$L75,1)</f>
        <v>161</v>
      </c>
      <c r="O75">
        <f>INDEX(tbl_Accent_RGBs9224[G],$L75,1)</f>
        <v>222</v>
      </c>
      <c r="P75">
        <f>INDEX(tbl_Accent_RGBs9224[B],$L75,1)</f>
        <v>239</v>
      </c>
      <c r="Q75" s="57">
        <v>0.6</v>
      </c>
      <c r="R75" t="str">
        <f t="shared" si="3"/>
        <v xml:space="preserve">    --a6-60: rgba(161, 222, 239, 0.6);</v>
      </c>
      <c r="S75" t="str">
        <f t="shared" si="4"/>
        <v xml:space="preserve">  .bg-a6-60{background-color: var(--a6-60);}</v>
      </c>
    </row>
    <row r="76" spans="2:19" x14ac:dyDescent="0.45">
      <c r="B76" s="27" t="s">
        <v>28</v>
      </c>
      <c r="C76" s="50">
        <f>VLOOKUP(B72,$B$3:$E$21,2,FALSE)</f>
        <v>161</v>
      </c>
      <c r="D76" s="50">
        <f>VLOOKUP(B72,$B$3:$E$21,3,FALSE)</f>
        <v>207</v>
      </c>
      <c r="E76" s="50">
        <f>VLOOKUP(B72,$B$3:$E$21,4,FALSE)</f>
        <v>239</v>
      </c>
      <c r="F76" s="47">
        <v>0</v>
      </c>
      <c r="H76" s="48" t="str">
        <f t="shared" ref="H76" si="120">LOWER(_xlfn.CONCAT("    --",B72,"-",B76,": rgba(",C76,", ",D76,", ",E76,", ","1.00",");"))</f>
        <v xml:space="preserve">    --a7-normal: rgba(161, 207, 239, 1.00);</v>
      </c>
      <c r="I76" s="48" t="str">
        <f t="shared" ref="I76" si="121">LOWER(_xlfn.CONCAT("  .color-",B72,"-",B76,"{","color: var(--",B72,"-",B76,");","}"))</f>
        <v xml:space="preserve">  .color-a7-normal{color: var(--a7-normal);}</v>
      </c>
      <c r="J76" s="48" t="str">
        <f t="shared" ref="J76" si="122">LOWER(_xlfn.CONCAT("  .bg-",B72,"-",B76,"{","background-color: var(--",B72,"-",B76,");","}"))</f>
        <v xml:space="preserve">  .bg-a7-normal{background-color: var(--a7-normal);}</v>
      </c>
      <c r="L76">
        <f t="shared" si="14"/>
        <v>6</v>
      </c>
      <c r="M76" t="str">
        <f>INDEX(tbl_Accent_RGBs9224[ID],L76,1)</f>
        <v>a6</v>
      </c>
      <c r="N76">
        <f>INDEX(tbl_Accent_RGBs9224[R],$L76,1)</f>
        <v>161</v>
      </c>
      <c r="O76">
        <f>INDEX(tbl_Accent_RGBs9224[G],$L76,1)</f>
        <v>222</v>
      </c>
      <c r="P76">
        <f>INDEX(tbl_Accent_RGBs9224[B],$L76,1)</f>
        <v>239</v>
      </c>
      <c r="Q76" s="57">
        <v>0.7</v>
      </c>
      <c r="R76" t="str">
        <f t="shared" si="3"/>
        <v xml:space="preserve">    --a6-70: rgba(161, 222, 239, 0.7);</v>
      </c>
      <c r="S76" t="str">
        <f t="shared" si="4"/>
        <v xml:space="preserve">  .bg-a6-70{background-color: var(--a6-70);}</v>
      </c>
    </row>
    <row r="77" spans="2:19" x14ac:dyDescent="0.45">
      <c r="B77" s="27" t="s">
        <v>29</v>
      </c>
      <c r="C77" s="48">
        <f>ROUND(C76*(1+F77),0)</f>
        <v>121</v>
      </c>
      <c r="D77" s="48">
        <f>ROUND(D76*(1+F77),0)</f>
        <v>155</v>
      </c>
      <c r="E77" s="48">
        <f>ROUND(E76*(1+F77),0)</f>
        <v>179</v>
      </c>
      <c r="F77" s="47">
        <v>-0.25</v>
      </c>
      <c r="H77" s="48" t="str">
        <f t="shared" ref="H77" si="123">LOWER(_xlfn.CONCAT("    --",B72,"-",B77,": rgba(",C77,", ",D77,", ",E77,", ","1.00",");"))</f>
        <v xml:space="preserve">    --a7-dark: rgba(121, 155, 179, 1.00);</v>
      </c>
      <c r="I77" s="48" t="str">
        <f t="shared" ref="I77" si="124">LOWER(_xlfn.CONCAT("  .color-",B72,"-",B77,"{","color: var(--",B72,"-",B77,");","}"))</f>
        <v xml:space="preserve">  .color-a7-dark{color: var(--a7-dark);}</v>
      </c>
      <c r="J77" s="48" t="str">
        <f t="shared" ref="J77" si="125">LOWER(_xlfn.CONCAT("  .bg-",B72,"-",B77,"{","background-color: var(--",B72,"-",B77,");","}"))</f>
        <v xml:space="preserve">  .bg-a7-dark{background-color: var(--a7-dark);}</v>
      </c>
      <c r="L77">
        <f t="shared" si="14"/>
        <v>6</v>
      </c>
      <c r="M77" t="str">
        <f>INDEX(tbl_Accent_RGBs9224[ID],L77,1)</f>
        <v>a6</v>
      </c>
      <c r="N77">
        <f>INDEX(tbl_Accent_RGBs9224[R],$L77,1)</f>
        <v>161</v>
      </c>
      <c r="O77">
        <f>INDEX(tbl_Accent_RGBs9224[G],$L77,1)</f>
        <v>222</v>
      </c>
      <c r="P77">
        <f>INDEX(tbl_Accent_RGBs9224[B],$L77,1)</f>
        <v>239</v>
      </c>
      <c r="Q77" s="57">
        <v>0.8</v>
      </c>
      <c r="R77" t="str">
        <f t="shared" si="3"/>
        <v xml:space="preserve">    --a6-80: rgba(161, 222, 239, 0.8);</v>
      </c>
      <c r="S77" t="str">
        <f t="shared" si="4"/>
        <v xml:space="preserve">  .bg-a6-80{background-color: var(--a6-80);}</v>
      </c>
    </row>
    <row r="78" spans="2:19" x14ac:dyDescent="0.45">
      <c r="B78" s="27" t="s">
        <v>30</v>
      </c>
      <c r="C78" s="48">
        <f>ROUND(C76*(1+F78),0)</f>
        <v>81</v>
      </c>
      <c r="D78" s="48">
        <f>ROUND(D76*(1+F78),0)</f>
        <v>104</v>
      </c>
      <c r="E78" s="48">
        <f>ROUND(E76*(1+F78),0)</f>
        <v>120</v>
      </c>
      <c r="F78" s="47">
        <v>-0.5</v>
      </c>
      <c r="H78" s="48" t="str">
        <f t="shared" ref="H78" si="126">LOWER(_xlfn.CONCAT("    --",B72,"-",B78,": rgba(",C78,", ",D78,", ",E78,", ","1.00",");"))</f>
        <v xml:space="preserve">    --a7-darker: rgba(81, 104, 120, 1.00);</v>
      </c>
      <c r="I78" s="48" t="str">
        <f t="shared" ref="I78" si="127">LOWER(_xlfn.CONCAT("  .color-",B72,"-",B78,"{","color: var(--",B72,"-",B78,");","}"))</f>
        <v xml:space="preserve">  .color-a7-darker{color: var(--a7-darker);}</v>
      </c>
      <c r="J78" s="48" t="str">
        <f t="shared" ref="J78" si="128">LOWER(_xlfn.CONCAT("  .bg-",B72,"-",B78,"{","background-color: var(--",B72,"-",B78,");","}"))</f>
        <v xml:space="preserve">  .bg-a7-darker{background-color: var(--a7-darker);}</v>
      </c>
      <c r="L78">
        <f t="shared" si="14"/>
        <v>6</v>
      </c>
      <c r="M78" t="str">
        <f>INDEX(tbl_Accent_RGBs9224[ID],L78,1)</f>
        <v>a6</v>
      </c>
      <c r="N78">
        <f>INDEX(tbl_Accent_RGBs9224[R],$L78,1)</f>
        <v>161</v>
      </c>
      <c r="O78">
        <f>INDEX(tbl_Accent_RGBs9224[G],$L78,1)</f>
        <v>222</v>
      </c>
      <c r="P78">
        <f>INDEX(tbl_Accent_RGBs9224[B],$L78,1)</f>
        <v>239</v>
      </c>
      <c r="Q78" s="57">
        <v>0.9</v>
      </c>
      <c r="R78" t="str">
        <f t="shared" si="3"/>
        <v xml:space="preserve">    --a6-90: rgba(161, 222, 239, 0.9);</v>
      </c>
      <c r="S78" t="str">
        <f t="shared" si="4"/>
        <v xml:space="preserve">  .bg-a6-90{background-color: var(--a6-90);}</v>
      </c>
    </row>
    <row r="79" spans="2:19" x14ac:dyDescent="0.45">
      <c r="B79" s="27" t="s">
        <v>31</v>
      </c>
      <c r="C79" s="48">
        <f>ROUND(C76*(1+F79),0)</f>
        <v>40</v>
      </c>
      <c r="D79" s="48">
        <f>ROUND(D76*(1+F79),0)</f>
        <v>52</v>
      </c>
      <c r="E79" s="48">
        <f>ROUND(E76*(1+F79),0)</f>
        <v>60</v>
      </c>
      <c r="F79" s="47">
        <v>-0.75</v>
      </c>
      <c r="H79" s="48" t="str">
        <f t="shared" ref="H79" si="129">LOWER(_xlfn.CONCAT("    --",B72,"-",B79,": rgba(",C79,", ",D79,", ",E79,", ","1.00",");"))</f>
        <v xml:space="preserve">    --a7-darkest: rgba(40, 52, 60, 1.00);</v>
      </c>
      <c r="I79" s="48" t="str">
        <f t="shared" ref="I79" si="130">LOWER(_xlfn.CONCAT("  .color-",B72,"-",B79,"{","color: var(--",B72,"-",B79,");","}"))</f>
        <v xml:space="preserve">  .color-a7-darkest{color: var(--a7-darkest);}</v>
      </c>
      <c r="J79" s="48" t="str">
        <f t="shared" ref="J79" si="131">LOWER(_xlfn.CONCAT("  .bg-",B72,"-",B79,"{","background-color: var(--",B72,"-",B79,");","}"))</f>
        <v xml:space="preserve">  .bg-a7-darkest{background-color: var(--a7-darkest);}</v>
      </c>
      <c r="L79">
        <f t="shared" si="14"/>
        <v>7</v>
      </c>
      <c r="M79" t="str">
        <f>INDEX(tbl_Accent_RGBs9224[ID],L79,1)</f>
        <v>a7</v>
      </c>
      <c r="N79">
        <f>INDEX(tbl_Accent_RGBs9224[R],$L79,1)</f>
        <v>161</v>
      </c>
      <c r="O79">
        <f>INDEX(tbl_Accent_RGBs9224[G],$L79,1)</f>
        <v>207</v>
      </c>
      <c r="P79">
        <f>INDEX(tbl_Accent_RGBs9224[B],$L79,1)</f>
        <v>239</v>
      </c>
      <c r="Q79" s="57">
        <v>0.1</v>
      </c>
      <c r="R79" t="str">
        <f t="shared" si="3"/>
        <v xml:space="preserve">    --a7-10: rgba(161, 207, 239, 0.1);</v>
      </c>
      <c r="S79" t="str">
        <f t="shared" si="4"/>
        <v xml:space="preserve">  .bg-a7-10{background-color: var(--a7-10);}</v>
      </c>
    </row>
    <row r="80" spans="2:19" x14ac:dyDescent="0.45">
      <c r="B80" s="46" t="s">
        <v>45</v>
      </c>
      <c r="C80" s="49" t="s">
        <v>33</v>
      </c>
      <c r="D80" s="49" t="s">
        <v>34</v>
      </c>
      <c r="E80" s="49" t="s">
        <v>35</v>
      </c>
      <c r="F80" s="49" t="s">
        <v>36</v>
      </c>
      <c r="H80" s="49"/>
      <c r="I80" s="49"/>
      <c r="J80" s="49"/>
      <c r="L80">
        <f t="shared" si="14"/>
        <v>7</v>
      </c>
      <c r="M80" t="str">
        <f>INDEX(tbl_Accent_RGBs9224[ID],L80,1)</f>
        <v>a7</v>
      </c>
      <c r="N80">
        <f>INDEX(tbl_Accent_RGBs9224[R],$L80,1)</f>
        <v>161</v>
      </c>
      <c r="O80">
        <f>INDEX(tbl_Accent_RGBs9224[G],$L80,1)</f>
        <v>207</v>
      </c>
      <c r="P80">
        <f>INDEX(tbl_Accent_RGBs9224[B],$L80,1)</f>
        <v>239</v>
      </c>
      <c r="Q80" s="57">
        <v>0.2</v>
      </c>
      <c r="R80" t="str">
        <f t="shared" si="3"/>
        <v xml:space="preserve">    --a7-20: rgba(161, 207, 239, 0.2);</v>
      </c>
      <c r="S80" t="str">
        <f t="shared" si="4"/>
        <v xml:space="preserve">  .bg-a7-20{background-color: var(--a7-20);}</v>
      </c>
    </row>
    <row r="81" spans="2:19" x14ac:dyDescent="0.45">
      <c r="B81" s="27" t="s">
        <v>25</v>
      </c>
      <c r="C81" s="48">
        <f>ROUND(255-((255-C84)*F81),0)</f>
        <v>232</v>
      </c>
      <c r="D81" s="48">
        <f>ROUND(255-((255-D84)*F81),0)</f>
        <v>236</v>
      </c>
      <c r="E81" s="48">
        <f>ROUND(255-((255-E84)*F81),0)</f>
        <v>251</v>
      </c>
      <c r="F81" s="47">
        <v>0.25</v>
      </c>
      <c r="H81" s="48" t="str">
        <f t="shared" ref="H81" si="132">LOWER(_xlfn.CONCAT("    --",B80,"-",B81,": rgba(",C81,", ",D81,", ",E81,", ","1.00",");"))</f>
        <v xml:space="preserve">    --a8-lightest: rgba(232, 236, 251, 1.00);</v>
      </c>
      <c r="I81" s="48" t="str">
        <f t="shared" ref="I81" si="133">LOWER(_xlfn.CONCAT("  .color-",B80,"-",B81,"{","color: var(--",B80,"-",B81,");","}"))</f>
        <v xml:space="preserve">  .color-a8-lightest{color: var(--a8-lightest);}</v>
      </c>
      <c r="J81" s="48" t="str">
        <f t="shared" ref="J81" si="134">LOWER(_xlfn.CONCAT("  .bg-",B80,"-",B81,"{","background-color: var(--",B80,"-",B81,");","}"))</f>
        <v xml:space="preserve">  .bg-a8-lightest{background-color: var(--a8-lightest);}</v>
      </c>
      <c r="L81">
        <f t="shared" si="14"/>
        <v>7</v>
      </c>
      <c r="M81" t="str">
        <f>INDEX(tbl_Accent_RGBs9224[ID],L81,1)</f>
        <v>a7</v>
      </c>
      <c r="N81">
        <f>INDEX(tbl_Accent_RGBs9224[R],$L81,1)</f>
        <v>161</v>
      </c>
      <c r="O81">
        <f>INDEX(tbl_Accent_RGBs9224[G],$L81,1)</f>
        <v>207</v>
      </c>
      <c r="P81">
        <f>INDEX(tbl_Accent_RGBs9224[B],$L81,1)</f>
        <v>239</v>
      </c>
      <c r="Q81" s="57">
        <v>0.3</v>
      </c>
      <c r="R81" t="str">
        <f t="shared" si="3"/>
        <v xml:space="preserve">    --a7-30: rgba(161, 207, 239, 0.3);</v>
      </c>
      <c r="S81" t="str">
        <f t="shared" si="4"/>
        <v xml:space="preserve">  .bg-a7-30{background-color: var(--a7-30);}</v>
      </c>
    </row>
    <row r="82" spans="2:19" x14ac:dyDescent="0.45">
      <c r="B82" s="27" t="s">
        <v>26</v>
      </c>
      <c r="C82" s="48">
        <f>ROUND(255-((255-C84)*F82),0)</f>
        <v>208</v>
      </c>
      <c r="D82" s="48">
        <f>ROUND(255-((255-D84)*F82),0)</f>
        <v>218</v>
      </c>
      <c r="E82" s="48">
        <f>ROUND(255-((255-E84)*F82),0)</f>
        <v>247</v>
      </c>
      <c r="F82" s="47">
        <v>0.5</v>
      </c>
      <c r="H82" s="48" t="str">
        <f t="shared" ref="H82" si="135">LOWER(_xlfn.CONCAT("    --",B80,"-",B82,": rgba(",C82,", ",D82,", ",E82,", ","1.00",");"))</f>
        <v xml:space="preserve">    --a8-lighter: rgba(208, 218, 247, 1.00);</v>
      </c>
      <c r="I82" s="48" t="str">
        <f t="shared" ref="I82" si="136">LOWER(_xlfn.CONCAT("  .color-",B80,"-",B82,"{","color: var(--",B80,"-",B82,");","}"))</f>
        <v xml:space="preserve">  .color-a8-lighter{color: var(--a8-lighter);}</v>
      </c>
      <c r="J82" s="48" t="str">
        <f t="shared" ref="J82" si="137">LOWER(_xlfn.CONCAT("  .bg-",B80,"-",B82,"{","background-color: var(--",B80,"-",B82,");","}"))</f>
        <v xml:space="preserve">  .bg-a8-lighter{background-color: var(--a8-lighter);}</v>
      </c>
      <c r="L82">
        <f t="shared" si="14"/>
        <v>7</v>
      </c>
      <c r="M82" t="str">
        <f>INDEX(tbl_Accent_RGBs9224[ID],L82,1)</f>
        <v>a7</v>
      </c>
      <c r="N82">
        <f>INDEX(tbl_Accent_RGBs9224[R],$L82,1)</f>
        <v>161</v>
      </c>
      <c r="O82">
        <f>INDEX(tbl_Accent_RGBs9224[G],$L82,1)</f>
        <v>207</v>
      </c>
      <c r="P82">
        <f>INDEX(tbl_Accent_RGBs9224[B],$L82,1)</f>
        <v>239</v>
      </c>
      <c r="Q82" s="57">
        <v>0.4</v>
      </c>
      <c r="R82" t="str">
        <f t="shared" si="3"/>
        <v xml:space="preserve">    --a7-40: rgba(161, 207, 239, 0.4);</v>
      </c>
      <c r="S82" t="str">
        <f t="shared" si="4"/>
        <v xml:space="preserve">  .bg-a7-40{background-color: var(--a7-40);}</v>
      </c>
    </row>
    <row r="83" spans="2:19" x14ac:dyDescent="0.45">
      <c r="B83" s="27" t="s">
        <v>27</v>
      </c>
      <c r="C83" s="48">
        <f>ROUND(255-((255-C84)*F83),0)</f>
        <v>185</v>
      </c>
      <c r="D83" s="48">
        <f>ROUND(255-((255-D84)*F83),0)</f>
        <v>199</v>
      </c>
      <c r="E83" s="48">
        <f>ROUND(255-((255-E84)*F83),0)</f>
        <v>243</v>
      </c>
      <c r="F83" s="47">
        <v>0.75</v>
      </c>
      <c r="H83" s="48" t="str">
        <f t="shared" ref="H83" si="138">LOWER(_xlfn.CONCAT("    --",B80,"-",B83,": rgba(",C83,", ",D83,", ",E83,", ","1.00",");"))</f>
        <v xml:space="preserve">    --a8-light: rgba(185, 199, 243, 1.00);</v>
      </c>
      <c r="I83" s="48" t="str">
        <f t="shared" ref="I83" si="139">LOWER(_xlfn.CONCAT("  .color-",B80,"-",B83,"{","color: var(--",B80,"-",B83,");","}"))</f>
        <v xml:space="preserve">  .color-a8-light{color: var(--a8-light);}</v>
      </c>
      <c r="J83" s="48" t="str">
        <f t="shared" ref="J83" si="140">LOWER(_xlfn.CONCAT("  .bg-",B80,"-",B83,"{","background-color: var(--",B80,"-",B83,");","}"))</f>
        <v xml:space="preserve">  .bg-a8-light{background-color: var(--a8-light);}</v>
      </c>
      <c r="L83">
        <f t="shared" si="14"/>
        <v>7</v>
      </c>
      <c r="M83" t="str">
        <f>INDEX(tbl_Accent_RGBs9224[ID],L83,1)</f>
        <v>a7</v>
      </c>
      <c r="N83">
        <f>INDEX(tbl_Accent_RGBs9224[R],$L83,1)</f>
        <v>161</v>
      </c>
      <c r="O83">
        <f>INDEX(tbl_Accent_RGBs9224[G],$L83,1)</f>
        <v>207</v>
      </c>
      <c r="P83">
        <f>INDEX(tbl_Accent_RGBs9224[B],$L83,1)</f>
        <v>239</v>
      </c>
      <c r="Q83" s="57">
        <v>0.5</v>
      </c>
      <c r="R83" t="str">
        <f t="shared" si="3"/>
        <v xml:space="preserve">    --a7-50: rgba(161, 207, 239, 0.5);</v>
      </c>
      <c r="S83" t="str">
        <f t="shared" si="4"/>
        <v xml:space="preserve">  .bg-a7-50{background-color: var(--a7-50);}</v>
      </c>
    </row>
    <row r="84" spans="2:19" x14ac:dyDescent="0.45">
      <c r="B84" s="27" t="s">
        <v>28</v>
      </c>
      <c r="C84" s="50">
        <f>VLOOKUP(B80,$B$3:$E$21,2,FALSE)</f>
        <v>161</v>
      </c>
      <c r="D84" s="50">
        <f>VLOOKUP(B80,$B$3:$E$21,3,FALSE)</f>
        <v>180</v>
      </c>
      <c r="E84" s="50">
        <f>VLOOKUP(B80,$B$3:$E$21,4,FALSE)</f>
        <v>239</v>
      </c>
      <c r="F84" s="47">
        <v>0</v>
      </c>
      <c r="H84" s="48" t="str">
        <f t="shared" ref="H84" si="141">LOWER(_xlfn.CONCAT("    --",B80,"-",B84,": rgba(",C84,", ",D84,", ",E84,", ","1.00",");"))</f>
        <v xml:space="preserve">    --a8-normal: rgba(161, 180, 239, 1.00);</v>
      </c>
      <c r="I84" s="48" t="str">
        <f t="shared" ref="I84" si="142">LOWER(_xlfn.CONCAT("  .color-",B80,"-",B84,"{","color: var(--",B80,"-",B84,");","}"))</f>
        <v xml:space="preserve">  .color-a8-normal{color: var(--a8-normal);}</v>
      </c>
      <c r="J84" s="48" t="str">
        <f t="shared" ref="J84" si="143">LOWER(_xlfn.CONCAT("  .bg-",B80,"-",B84,"{","background-color: var(--",B80,"-",B84,");","}"))</f>
        <v xml:space="preserve">  .bg-a8-normal{background-color: var(--a8-normal);}</v>
      </c>
      <c r="L84">
        <f t="shared" si="14"/>
        <v>7</v>
      </c>
      <c r="M84" t="str">
        <f>INDEX(tbl_Accent_RGBs9224[ID],L84,1)</f>
        <v>a7</v>
      </c>
      <c r="N84">
        <f>INDEX(tbl_Accent_RGBs9224[R],$L84,1)</f>
        <v>161</v>
      </c>
      <c r="O84">
        <f>INDEX(tbl_Accent_RGBs9224[G],$L84,1)</f>
        <v>207</v>
      </c>
      <c r="P84">
        <f>INDEX(tbl_Accent_RGBs9224[B],$L84,1)</f>
        <v>239</v>
      </c>
      <c r="Q84" s="57">
        <v>0.6</v>
      </c>
      <c r="R84" t="str">
        <f t="shared" si="3"/>
        <v xml:space="preserve">    --a7-60: rgba(161, 207, 239, 0.6);</v>
      </c>
      <c r="S84" t="str">
        <f t="shared" si="4"/>
        <v xml:space="preserve">  .bg-a7-60{background-color: var(--a7-60);}</v>
      </c>
    </row>
    <row r="85" spans="2:19" x14ac:dyDescent="0.45">
      <c r="B85" s="27" t="s">
        <v>29</v>
      </c>
      <c r="C85" s="48">
        <f>ROUND(C84*(1+F85),0)</f>
        <v>121</v>
      </c>
      <c r="D85" s="48">
        <f>ROUND(D84*(1+F85),0)</f>
        <v>135</v>
      </c>
      <c r="E85" s="48">
        <f>ROUND(E84*(1+F85),0)</f>
        <v>179</v>
      </c>
      <c r="F85" s="47">
        <v>-0.25</v>
      </c>
      <c r="H85" s="48" t="str">
        <f t="shared" ref="H85" si="144">LOWER(_xlfn.CONCAT("    --",B80,"-",B85,": rgba(",C85,", ",D85,", ",E85,", ","1.00",");"))</f>
        <v xml:space="preserve">    --a8-dark: rgba(121, 135, 179, 1.00);</v>
      </c>
      <c r="I85" s="48" t="str">
        <f t="shared" ref="I85" si="145">LOWER(_xlfn.CONCAT("  .color-",B80,"-",B85,"{","color: var(--",B80,"-",B85,");","}"))</f>
        <v xml:space="preserve">  .color-a8-dark{color: var(--a8-dark);}</v>
      </c>
      <c r="J85" s="48" t="str">
        <f t="shared" ref="J85" si="146">LOWER(_xlfn.CONCAT("  .bg-",B80,"-",B85,"{","background-color: var(--",B80,"-",B85,");","}"))</f>
        <v xml:space="preserve">  .bg-a8-dark{background-color: var(--a8-dark);}</v>
      </c>
      <c r="L85">
        <f t="shared" si="14"/>
        <v>7</v>
      </c>
      <c r="M85" t="str">
        <f>INDEX(tbl_Accent_RGBs9224[ID],L85,1)</f>
        <v>a7</v>
      </c>
      <c r="N85">
        <f>INDEX(tbl_Accent_RGBs9224[R],$L85,1)</f>
        <v>161</v>
      </c>
      <c r="O85">
        <f>INDEX(tbl_Accent_RGBs9224[G],$L85,1)</f>
        <v>207</v>
      </c>
      <c r="P85">
        <f>INDEX(tbl_Accent_RGBs9224[B],$L85,1)</f>
        <v>239</v>
      </c>
      <c r="Q85" s="57">
        <v>0.7</v>
      </c>
      <c r="R85" t="str">
        <f t="shared" si="3"/>
        <v xml:space="preserve">    --a7-70: rgba(161, 207, 239, 0.7);</v>
      </c>
      <c r="S85" t="str">
        <f t="shared" si="4"/>
        <v xml:space="preserve">  .bg-a7-70{background-color: var(--a7-70);}</v>
      </c>
    </row>
    <row r="86" spans="2:19" x14ac:dyDescent="0.45">
      <c r="B86" s="27" t="s">
        <v>30</v>
      </c>
      <c r="C86" s="48">
        <f>ROUND(C84*(1+F86),0)</f>
        <v>81</v>
      </c>
      <c r="D86" s="48">
        <f>ROUND(D84*(1+F86),0)</f>
        <v>90</v>
      </c>
      <c r="E86" s="48">
        <f>ROUND(E84*(1+F86),0)</f>
        <v>120</v>
      </c>
      <c r="F86" s="47">
        <v>-0.5</v>
      </c>
      <c r="H86" s="48" t="str">
        <f t="shared" ref="H86" si="147">LOWER(_xlfn.CONCAT("    --",B80,"-",B86,": rgba(",C86,", ",D86,", ",E86,", ","1.00",");"))</f>
        <v xml:space="preserve">    --a8-darker: rgba(81, 90, 120, 1.00);</v>
      </c>
      <c r="I86" s="48" t="str">
        <f t="shared" ref="I86" si="148">LOWER(_xlfn.CONCAT("  .color-",B80,"-",B86,"{","color: var(--",B80,"-",B86,");","}"))</f>
        <v xml:space="preserve">  .color-a8-darker{color: var(--a8-darker);}</v>
      </c>
      <c r="J86" s="48" t="str">
        <f t="shared" ref="J86" si="149">LOWER(_xlfn.CONCAT("  .bg-",B80,"-",B86,"{","background-color: var(--",B80,"-",B86,");","}"))</f>
        <v xml:space="preserve">  .bg-a8-darker{background-color: var(--a8-darker);}</v>
      </c>
      <c r="L86">
        <f t="shared" si="14"/>
        <v>7</v>
      </c>
      <c r="M86" t="str">
        <f>INDEX(tbl_Accent_RGBs9224[ID],L86,1)</f>
        <v>a7</v>
      </c>
      <c r="N86">
        <f>INDEX(tbl_Accent_RGBs9224[R],$L86,1)</f>
        <v>161</v>
      </c>
      <c r="O86">
        <f>INDEX(tbl_Accent_RGBs9224[G],$L86,1)</f>
        <v>207</v>
      </c>
      <c r="P86">
        <f>INDEX(tbl_Accent_RGBs9224[B],$L86,1)</f>
        <v>239</v>
      </c>
      <c r="Q86" s="57">
        <v>0.8</v>
      </c>
      <c r="R86" t="str">
        <f t="shared" si="3"/>
        <v xml:space="preserve">    --a7-80: rgba(161, 207, 239, 0.8);</v>
      </c>
      <c r="S86" t="str">
        <f t="shared" si="4"/>
        <v xml:space="preserve">  .bg-a7-80{background-color: var(--a7-80);}</v>
      </c>
    </row>
    <row r="87" spans="2:19" x14ac:dyDescent="0.45">
      <c r="B87" s="27" t="s">
        <v>31</v>
      </c>
      <c r="C87" s="48">
        <f>ROUND(C84*(1+F87),0)</f>
        <v>40</v>
      </c>
      <c r="D87" s="48">
        <f>ROUND(D84*(1+F87),0)</f>
        <v>45</v>
      </c>
      <c r="E87" s="48">
        <f>ROUND(E84*(1+F87),0)</f>
        <v>60</v>
      </c>
      <c r="F87" s="47">
        <v>-0.75</v>
      </c>
      <c r="H87" s="48" t="str">
        <f t="shared" ref="H87" si="150">LOWER(_xlfn.CONCAT("    --",B80,"-",B87,": rgba(",C87,", ",D87,", ",E87,", ","1.00",");"))</f>
        <v xml:space="preserve">    --a8-darkest: rgba(40, 45, 60, 1.00);</v>
      </c>
      <c r="I87" s="48" t="str">
        <f t="shared" ref="I87" si="151">LOWER(_xlfn.CONCAT("  .color-",B80,"-",B87,"{","color: var(--",B80,"-",B87,");","}"))</f>
        <v xml:space="preserve">  .color-a8-darkest{color: var(--a8-darkest);}</v>
      </c>
      <c r="J87" s="48" t="str">
        <f t="shared" ref="J87" si="152">LOWER(_xlfn.CONCAT("  .bg-",B80,"-",B87,"{","background-color: var(--",B80,"-",B87,");","}"))</f>
        <v xml:space="preserve">  .bg-a8-darkest{background-color: var(--a8-darkest);}</v>
      </c>
      <c r="L87">
        <f t="shared" si="14"/>
        <v>7</v>
      </c>
      <c r="M87" t="str">
        <f>INDEX(tbl_Accent_RGBs9224[ID],L87,1)</f>
        <v>a7</v>
      </c>
      <c r="N87">
        <f>INDEX(tbl_Accent_RGBs9224[R],$L87,1)</f>
        <v>161</v>
      </c>
      <c r="O87">
        <f>INDEX(tbl_Accent_RGBs9224[G],$L87,1)</f>
        <v>207</v>
      </c>
      <c r="P87">
        <f>INDEX(tbl_Accent_RGBs9224[B],$L87,1)</f>
        <v>239</v>
      </c>
      <c r="Q87" s="57">
        <v>0.9</v>
      </c>
      <c r="R87" t="str">
        <f t="shared" si="3"/>
        <v xml:space="preserve">    --a7-90: rgba(161, 207, 239, 0.9);</v>
      </c>
      <c r="S87" t="str">
        <f t="shared" si="4"/>
        <v xml:space="preserve">  .bg-a7-90{background-color: var(--a7-90);}</v>
      </c>
    </row>
    <row r="88" spans="2:19" x14ac:dyDescent="0.45">
      <c r="B88" s="46" t="s">
        <v>46</v>
      </c>
      <c r="C88" s="49" t="s">
        <v>33</v>
      </c>
      <c r="D88" s="49" t="s">
        <v>34</v>
      </c>
      <c r="E88" s="49" t="s">
        <v>35</v>
      </c>
      <c r="F88" s="49" t="s">
        <v>36</v>
      </c>
      <c r="H88" s="49"/>
      <c r="I88" s="49"/>
      <c r="J88" s="49"/>
      <c r="L88">
        <f t="shared" si="14"/>
        <v>8</v>
      </c>
      <c r="M88" t="str">
        <f>INDEX(tbl_Accent_RGBs9224[ID],L88,1)</f>
        <v>a8</v>
      </c>
      <c r="N88">
        <f>INDEX(tbl_Accent_RGBs9224[R],$L88,1)</f>
        <v>161</v>
      </c>
      <c r="O88">
        <f>INDEX(tbl_Accent_RGBs9224[G],$L88,1)</f>
        <v>180</v>
      </c>
      <c r="P88">
        <f>INDEX(tbl_Accent_RGBs9224[B],$L88,1)</f>
        <v>239</v>
      </c>
      <c r="Q88" s="57">
        <v>0.1</v>
      </c>
      <c r="R88" t="str">
        <f t="shared" si="3"/>
        <v xml:space="preserve">    --a8-10: rgba(161, 180, 239, 0.1);</v>
      </c>
      <c r="S88" t="str">
        <f t="shared" si="4"/>
        <v xml:space="preserve">  .bg-a8-10{background-color: var(--a8-10);}</v>
      </c>
    </row>
    <row r="89" spans="2:19" x14ac:dyDescent="0.45">
      <c r="B89" s="27" t="s">
        <v>25</v>
      </c>
      <c r="C89" s="48">
        <f>ROUND(255-((255-C92)*F89),0)</f>
        <v>236</v>
      </c>
      <c r="D89" s="48">
        <f>ROUND(255-((255-D92)*F89),0)</f>
        <v>232</v>
      </c>
      <c r="E89" s="48">
        <f>ROUND(255-((255-E92)*F89),0)</f>
        <v>251</v>
      </c>
      <c r="F89" s="47">
        <v>0.25</v>
      </c>
      <c r="H89" s="48" t="str">
        <f t="shared" ref="H89" si="153">LOWER(_xlfn.CONCAT("    --",B88,"-",B89,": rgba(",C89,", ",D89,", ",E89,", ","1.00",");"))</f>
        <v xml:space="preserve">    --a9-lightest: rgba(236, 232, 251, 1.00);</v>
      </c>
      <c r="I89" s="48" t="str">
        <f t="shared" ref="I89" si="154">LOWER(_xlfn.CONCAT("  .color-",B88,"-",B89,"{","color: var(--",B88,"-",B89,");","}"))</f>
        <v xml:space="preserve">  .color-a9-lightest{color: var(--a9-lightest);}</v>
      </c>
      <c r="J89" s="48" t="str">
        <f t="shared" ref="J89" si="155">LOWER(_xlfn.CONCAT("  .bg-",B88,"-",B89,"{","background-color: var(--",B88,"-",B89,");","}"))</f>
        <v xml:space="preserve">  .bg-a9-lightest{background-color: var(--a9-lightest);}</v>
      </c>
      <c r="L89">
        <f t="shared" si="14"/>
        <v>8</v>
      </c>
      <c r="M89" t="str">
        <f>INDEX(tbl_Accent_RGBs9224[ID],L89,1)</f>
        <v>a8</v>
      </c>
      <c r="N89">
        <f>INDEX(tbl_Accent_RGBs9224[R],$L89,1)</f>
        <v>161</v>
      </c>
      <c r="O89">
        <f>INDEX(tbl_Accent_RGBs9224[G],$L89,1)</f>
        <v>180</v>
      </c>
      <c r="P89">
        <f>INDEX(tbl_Accent_RGBs9224[B],$L89,1)</f>
        <v>239</v>
      </c>
      <c r="Q89" s="57">
        <v>0.2</v>
      </c>
      <c r="R89" t="str">
        <f t="shared" si="3"/>
        <v xml:space="preserve">    --a8-20: rgba(161, 180, 239, 0.2);</v>
      </c>
      <c r="S89" t="str">
        <f t="shared" si="4"/>
        <v xml:space="preserve">  .bg-a8-20{background-color: var(--a8-20);}</v>
      </c>
    </row>
    <row r="90" spans="2:19" x14ac:dyDescent="0.45">
      <c r="B90" s="27" t="s">
        <v>26</v>
      </c>
      <c r="C90" s="48">
        <f>ROUND(255-((255-C92)*F90),0)</f>
        <v>218</v>
      </c>
      <c r="D90" s="48">
        <f>ROUND(255-((255-D92)*F90),0)</f>
        <v>208</v>
      </c>
      <c r="E90" s="48">
        <f>ROUND(255-((255-E92)*F90),0)</f>
        <v>247</v>
      </c>
      <c r="F90" s="47">
        <v>0.5</v>
      </c>
      <c r="H90" s="48" t="str">
        <f t="shared" ref="H90" si="156">LOWER(_xlfn.CONCAT("    --",B88,"-",B90,": rgba(",C90,", ",D90,", ",E90,", ","1.00",");"))</f>
        <v xml:space="preserve">    --a9-lighter: rgba(218, 208, 247, 1.00);</v>
      </c>
      <c r="I90" s="48" t="str">
        <f t="shared" ref="I90" si="157">LOWER(_xlfn.CONCAT("  .color-",B88,"-",B90,"{","color: var(--",B88,"-",B90,");","}"))</f>
        <v xml:space="preserve">  .color-a9-lighter{color: var(--a9-lighter);}</v>
      </c>
      <c r="J90" s="48" t="str">
        <f t="shared" ref="J90" si="158">LOWER(_xlfn.CONCAT("  .bg-",B88,"-",B90,"{","background-color: var(--",B88,"-",B90,");","}"))</f>
        <v xml:space="preserve">  .bg-a9-lighter{background-color: var(--a9-lighter);}</v>
      </c>
      <c r="L90">
        <f t="shared" si="14"/>
        <v>8</v>
      </c>
      <c r="M90" t="str">
        <f>INDEX(tbl_Accent_RGBs9224[ID],L90,1)</f>
        <v>a8</v>
      </c>
      <c r="N90">
        <f>INDEX(tbl_Accent_RGBs9224[R],$L90,1)</f>
        <v>161</v>
      </c>
      <c r="O90">
        <f>INDEX(tbl_Accent_RGBs9224[G],$L90,1)</f>
        <v>180</v>
      </c>
      <c r="P90">
        <f>INDEX(tbl_Accent_RGBs9224[B],$L90,1)</f>
        <v>239</v>
      </c>
      <c r="Q90" s="57">
        <v>0.3</v>
      </c>
      <c r="R90" t="str">
        <f t="shared" ref="R90:R153" si="159">LOWER(_xlfn.CONCAT("    --",M90,"-",TEXT(Q90*100,"##"),": rgba(",N90,", ",O90,", ",P90,", ",Q90,");"))</f>
        <v xml:space="preserve">    --a8-30: rgba(161, 180, 239, 0.3);</v>
      </c>
      <c r="S90" t="str">
        <f t="shared" ref="S90:S153" si="160">LOWER(_xlfn.CONCAT("  .bg-",M90,"-",TEXT(Q90*100,"##"),"{","background-color: var(--",M90,"-",TEXT(Q90*100,"##"),");","}"))</f>
        <v xml:space="preserve">  .bg-a8-30{background-color: var(--a8-30);}</v>
      </c>
    </row>
    <row r="91" spans="2:19" x14ac:dyDescent="0.45">
      <c r="B91" s="27" t="s">
        <v>27</v>
      </c>
      <c r="C91" s="48">
        <f>ROUND(255-((255-C92)*F91),0)</f>
        <v>199</v>
      </c>
      <c r="D91" s="48">
        <f>ROUND(255-((255-D92)*F91),0)</f>
        <v>185</v>
      </c>
      <c r="E91" s="48">
        <f>ROUND(255-((255-E92)*F91),0)</f>
        <v>243</v>
      </c>
      <c r="F91" s="47">
        <v>0.75</v>
      </c>
      <c r="H91" s="48" t="str">
        <f t="shared" ref="H91" si="161">LOWER(_xlfn.CONCAT("    --",B88,"-",B91,": rgba(",C91,", ",D91,", ",E91,", ","1.00",");"))</f>
        <v xml:space="preserve">    --a9-light: rgba(199, 185, 243, 1.00);</v>
      </c>
      <c r="I91" s="48" t="str">
        <f t="shared" ref="I91" si="162">LOWER(_xlfn.CONCAT("  .color-",B88,"-",B91,"{","color: var(--",B88,"-",B91,");","}"))</f>
        <v xml:space="preserve">  .color-a9-light{color: var(--a9-light);}</v>
      </c>
      <c r="J91" s="48" t="str">
        <f t="shared" ref="J91" si="163">LOWER(_xlfn.CONCAT("  .bg-",B88,"-",B91,"{","background-color: var(--",B88,"-",B91,");","}"))</f>
        <v xml:space="preserve">  .bg-a9-light{background-color: var(--a9-light);}</v>
      </c>
      <c r="L91">
        <f t="shared" si="14"/>
        <v>8</v>
      </c>
      <c r="M91" t="str">
        <f>INDEX(tbl_Accent_RGBs9224[ID],L91,1)</f>
        <v>a8</v>
      </c>
      <c r="N91">
        <f>INDEX(tbl_Accent_RGBs9224[R],$L91,1)</f>
        <v>161</v>
      </c>
      <c r="O91">
        <f>INDEX(tbl_Accent_RGBs9224[G],$L91,1)</f>
        <v>180</v>
      </c>
      <c r="P91">
        <f>INDEX(tbl_Accent_RGBs9224[B],$L91,1)</f>
        <v>239</v>
      </c>
      <c r="Q91" s="57">
        <v>0.4</v>
      </c>
      <c r="R91" t="str">
        <f t="shared" si="159"/>
        <v xml:space="preserve">    --a8-40: rgba(161, 180, 239, 0.4);</v>
      </c>
      <c r="S91" t="str">
        <f t="shared" si="160"/>
        <v xml:space="preserve">  .bg-a8-40{background-color: var(--a8-40);}</v>
      </c>
    </row>
    <row r="92" spans="2:19" x14ac:dyDescent="0.45">
      <c r="B92" s="27" t="s">
        <v>28</v>
      </c>
      <c r="C92" s="50">
        <f>VLOOKUP(B88,$B$3:$E$21,2,FALSE)</f>
        <v>180</v>
      </c>
      <c r="D92" s="50">
        <f>VLOOKUP(B88,$B$3:$E$21,3,FALSE)</f>
        <v>161</v>
      </c>
      <c r="E92" s="50">
        <f>VLOOKUP(B88,$B$3:$E$21,4,FALSE)</f>
        <v>239</v>
      </c>
      <c r="F92" s="47">
        <v>0</v>
      </c>
      <c r="H92" s="48" t="str">
        <f t="shared" ref="H92" si="164">LOWER(_xlfn.CONCAT("    --",B88,"-",B92,": rgba(",C92,", ",D92,", ",E92,", ","1.00",");"))</f>
        <v xml:space="preserve">    --a9-normal: rgba(180, 161, 239, 1.00);</v>
      </c>
      <c r="I92" s="48" t="str">
        <f t="shared" ref="I92" si="165">LOWER(_xlfn.CONCAT("  .color-",B88,"-",B92,"{","color: var(--",B88,"-",B92,");","}"))</f>
        <v xml:space="preserve">  .color-a9-normal{color: var(--a9-normal);}</v>
      </c>
      <c r="J92" s="48" t="str">
        <f t="shared" ref="J92" si="166">LOWER(_xlfn.CONCAT("  .bg-",B88,"-",B92,"{","background-color: var(--",B88,"-",B92,");","}"))</f>
        <v xml:space="preserve">  .bg-a9-normal{background-color: var(--a9-normal);}</v>
      </c>
      <c r="L92">
        <f t="shared" si="14"/>
        <v>8</v>
      </c>
      <c r="M92" t="str">
        <f>INDEX(tbl_Accent_RGBs9224[ID],L92,1)</f>
        <v>a8</v>
      </c>
      <c r="N92">
        <f>INDEX(tbl_Accent_RGBs9224[R],$L92,1)</f>
        <v>161</v>
      </c>
      <c r="O92">
        <f>INDEX(tbl_Accent_RGBs9224[G],$L92,1)</f>
        <v>180</v>
      </c>
      <c r="P92">
        <f>INDEX(tbl_Accent_RGBs9224[B],$L92,1)</f>
        <v>239</v>
      </c>
      <c r="Q92" s="57">
        <v>0.5</v>
      </c>
      <c r="R92" t="str">
        <f t="shared" si="159"/>
        <v xml:space="preserve">    --a8-50: rgba(161, 180, 239, 0.5);</v>
      </c>
      <c r="S92" t="str">
        <f t="shared" si="160"/>
        <v xml:space="preserve">  .bg-a8-50{background-color: var(--a8-50);}</v>
      </c>
    </row>
    <row r="93" spans="2:19" x14ac:dyDescent="0.45">
      <c r="B93" s="27" t="s">
        <v>29</v>
      </c>
      <c r="C93" s="48">
        <f>ROUND(C92*(1+F93),0)</f>
        <v>135</v>
      </c>
      <c r="D93" s="48">
        <f>ROUND(D92*(1+F93),0)</f>
        <v>121</v>
      </c>
      <c r="E93" s="48">
        <f>ROUND(E92*(1+F93),0)</f>
        <v>179</v>
      </c>
      <c r="F93" s="47">
        <v>-0.25</v>
      </c>
      <c r="H93" s="48" t="str">
        <f t="shared" ref="H93" si="167">LOWER(_xlfn.CONCAT("    --",B88,"-",B93,": rgba(",C93,", ",D93,", ",E93,", ","1.00",");"))</f>
        <v xml:space="preserve">    --a9-dark: rgba(135, 121, 179, 1.00);</v>
      </c>
      <c r="I93" s="48" t="str">
        <f t="shared" ref="I93" si="168">LOWER(_xlfn.CONCAT("  .color-",B88,"-",B93,"{","color: var(--",B88,"-",B93,");","}"))</f>
        <v xml:space="preserve">  .color-a9-dark{color: var(--a9-dark);}</v>
      </c>
      <c r="J93" s="48" t="str">
        <f t="shared" ref="J93" si="169">LOWER(_xlfn.CONCAT("  .bg-",B88,"-",B93,"{","background-color: var(--",B88,"-",B93,");","}"))</f>
        <v xml:space="preserve">  .bg-a9-dark{background-color: var(--a9-dark);}</v>
      </c>
      <c r="L93">
        <f t="shared" si="14"/>
        <v>8</v>
      </c>
      <c r="M93" t="str">
        <f>INDEX(tbl_Accent_RGBs9224[ID],L93,1)</f>
        <v>a8</v>
      </c>
      <c r="N93">
        <f>INDEX(tbl_Accent_RGBs9224[R],$L93,1)</f>
        <v>161</v>
      </c>
      <c r="O93">
        <f>INDEX(tbl_Accent_RGBs9224[G],$L93,1)</f>
        <v>180</v>
      </c>
      <c r="P93">
        <f>INDEX(tbl_Accent_RGBs9224[B],$L93,1)</f>
        <v>239</v>
      </c>
      <c r="Q93" s="57">
        <v>0.6</v>
      </c>
      <c r="R93" t="str">
        <f t="shared" si="159"/>
        <v xml:space="preserve">    --a8-60: rgba(161, 180, 239, 0.6);</v>
      </c>
      <c r="S93" t="str">
        <f t="shared" si="160"/>
        <v xml:space="preserve">  .bg-a8-60{background-color: var(--a8-60);}</v>
      </c>
    </row>
    <row r="94" spans="2:19" x14ac:dyDescent="0.45">
      <c r="B94" s="27" t="s">
        <v>30</v>
      </c>
      <c r="C94" s="48">
        <f>ROUND(C92*(1+F94),0)</f>
        <v>90</v>
      </c>
      <c r="D94" s="48">
        <f>ROUND(D92*(1+F94),0)</f>
        <v>81</v>
      </c>
      <c r="E94" s="48">
        <f>ROUND(E92*(1+F94),0)</f>
        <v>120</v>
      </c>
      <c r="F94" s="47">
        <v>-0.5</v>
      </c>
      <c r="H94" s="48" t="str">
        <f t="shared" ref="H94" si="170">LOWER(_xlfn.CONCAT("    --",B88,"-",B94,": rgba(",C94,", ",D94,", ",E94,", ","1.00",");"))</f>
        <v xml:space="preserve">    --a9-darker: rgba(90, 81, 120, 1.00);</v>
      </c>
      <c r="I94" s="48" t="str">
        <f t="shared" ref="I94" si="171">LOWER(_xlfn.CONCAT("  .color-",B88,"-",B94,"{","color: var(--",B88,"-",B94,");","}"))</f>
        <v xml:space="preserve">  .color-a9-darker{color: var(--a9-darker);}</v>
      </c>
      <c r="J94" s="48" t="str">
        <f t="shared" ref="J94" si="172">LOWER(_xlfn.CONCAT("  .bg-",B88,"-",B94,"{","background-color: var(--",B88,"-",B94,");","}"))</f>
        <v xml:space="preserve">  .bg-a9-darker{background-color: var(--a9-darker);}</v>
      </c>
      <c r="L94">
        <f t="shared" si="14"/>
        <v>8</v>
      </c>
      <c r="M94" t="str">
        <f>INDEX(tbl_Accent_RGBs9224[ID],L94,1)</f>
        <v>a8</v>
      </c>
      <c r="N94">
        <f>INDEX(tbl_Accent_RGBs9224[R],$L94,1)</f>
        <v>161</v>
      </c>
      <c r="O94">
        <f>INDEX(tbl_Accent_RGBs9224[G],$L94,1)</f>
        <v>180</v>
      </c>
      <c r="P94">
        <f>INDEX(tbl_Accent_RGBs9224[B],$L94,1)</f>
        <v>239</v>
      </c>
      <c r="Q94" s="57">
        <v>0.7</v>
      </c>
      <c r="R94" t="str">
        <f t="shared" si="159"/>
        <v xml:space="preserve">    --a8-70: rgba(161, 180, 239, 0.7);</v>
      </c>
      <c r="S94" t="str">
        <f t="shared" si="160"/>
        <v xml:space="preserve">  .bg-a8-70{background-color: var(--a8-70);}</v>
      </c>
    </row>
    <row r="95" spans="2:19" x14ac:dyDescent="0.45">
      <c r="B95" s="27" t="s">
        <v>31</v>
      </c>
      <c r="C95" s="48">
        <f>ROUND(C92*(1+F95),0)</f>
        <v>45</v>
      </c>
      <c r="D95" s="48">
        <f>ROUND(D92*(1+F95),0)</f>
        <v>40</v>
      </c>
      <c r="E95" s="48">
        <f>ROUND(E92*(1+F95),0)</f>
        <v>60</v>
      </c>
      <c r="F95" s="47">
        <v>-0.75</v>
      </c>
      <c r="H95" s="48" t="str">
        <f t="shared" ref="H95" si="173">LOWER(_xlfn.CONCAT("    --",B88,"-",B95,": rgba(",C95,", ",D95,", ",E95,", ","1.00",");"))</f>
        <v xml:space="preserve">    --a9-darkest: rgba(45, 40, 60, 1.00);</v>
      </c>
      <c r="I95" s="48" t="str">
        <f t="shared" ref="I95" si="174">LOWER(_xlfn.CONCAT("  .color-",B88,"-",B95,"{","color: var(--",B88,"-",B95,");","}"))</f>
        <v xml:space="preserve">  .color-a9-darkest{color: var(--a9-darkest);}</v>
      </c>
      <c r="J95" s="48" t="str">
        <f t="shared" ref="J95" si="175">LOWER(_xlfn.CONCAT("  .bg-",B88,"-",B95,"{","background-color: var(--",B88,"-",B95,");","}"))</f>
        <v xml:space="preserve">  .bg-a9-darkest{background-color: var(--a9-darkest);}</v>
      </c>
      <c r="L95">
        <f t="shared" si="14"/>
        <v>8</v>
      </c>
      <c r="M95" t="str">
        <f>INDEX(tbl_Accent_RGBs9224[ID],L95,1)</f>
        <v>a8</v>
      </c>
      <c r="N95">
        <f>INDEX(tbl_Accent_RGBs9224[R],$L95,1)</f>
        <v>161</v>
      </c>
      <c r="O95">
        <f>INDEX(tbl_Accent_RGBs9224[G],$L95,1)</f>
        <v>180</v>
      </c>
      <c r="P95">
        <f>INDEX(tbl_Accent_RGBs9224[B],$L95,1)</f>
        <v>239</v>
      </c>
      <c r="Q95" s="57">
        <v>0.8</v>
      </c>
      <c r="R95" t="str">
        <f t="shared" si="159"/>
        <v xml:space="preserve">    --a8-80: rgba(161, 180, 239, 0.8);</v>
      </c>
      <c r="S95" t="str">
        <f t="shared" si="160"/>
        <v xml:space="preserve">  .bg-a8-80{background-color: var(--a8-80);}</v>
      </c>
    </row>
    <row r="96" spans="2:19" x14ac:dyDescent="0.45">
      <c r="B96" s="46" t="s">
        <v>47</v>
      </c>
      <c r="C96" s="49" t="s">
        <v>33</v>
      </c>
      <c r="D96" s="49" t="s">
        <v>34</v>
      </c>
      <c r="E96" s="49" t="s">
        <v>35</v>
      </c>
      <c r="F96" s="49" t="s">
        <v>36</v>
      </c>
      <c r="H96" s="49"/>
      <c r="I96" s="49"/>
      <c r="J96" s="49"/>
      <c r="L96">
        <f t="shared" si="14"/>
        <v>8</v>
      </c>
      <c r="M96" t="str">
        <f>INDEX(tbl_Accent_RGBs9224[ID],L96,1)</f>
        <v>a8</v>
      </c>
      <c r="N96">
        <f>INDEX(tbl_Accent_RGBs9224[R],$L96,1)</f>
        <v>161</v>
      </c>
      <c r="O96">
        <f>INDEX(tbl_Accent_RGBs9224[G],$L96,1)</f>
        <v>180</v>
      </c>
      <c r="P96">
        <f>INDEX(tbl_Accent_RGBs9224[B],$L96,1)</f>
        <v>239</v>
      </c>
      <c r="Q96" s="57">
        <v>0.9</v>
      </c>
      <c r="R96" t="str">
        <f t="shared" si="159"/>
        <v xml:space="preserve">    --a8-90: rgba(161, 180, 239, 0.9);</v>
      </c>
      <c r="S96" t="str">
        <f t="shared" si="160"/>
        <v xml:space="preserve">  .bg-a8-90{background-color: var(--a8-90);}</v>
      </c>
    </row>
    <row r="97" spans="2:19" x14ac:dyDescent="0.45">
      <c r="B97" s="27" t="s">
        <v>25</v>
      </c>
      <c r="C97" s="48">
        <f>ROUND(255-((255-C100)*F97),0)</f>
        <v>253</v>
      </c>
      <c r="D97" s="48">
        <f>ROUND(255-((255-D100)*F97),0)</f>
        <v>220</v>
      </c>
      <c r="E97" s="48">
        <f>ROUND(255-((255-E100)*F97),0)</f>
        <v>224</v>
      </c>
      <c r="F97" s="47">
        <v>0.25</v>
      </c>
      <c r="H97" s="48" t="str">
        <f t="shared" ref="H97" si="176">LOWER(_xlfn.CONCAT("    --",B96,"-",B97,": rgba(",C97,", ",D97,", ",E97,", ","1.00",");"))</f>
        <v xml:space="preserve">    --b1-lightest: rgba(253, 220, 224, 1.00);</v>
      </c>
      <c r="I97" s="48" t="str">
        <f t="shared" ref="I97" si="177">LOWER(_xlfn.CONCAT("  .color-",B96,"-",B97,"{","color: var(--",B96,"-",B97,");","}"))</f>
        <v xml:space="preserve">  .color-b1-lightest{color: var(--b1-lightest);}</v>
      </c>
      <c r="J97" s="48" t="str">
        <f t="shared" ref="J97" si="178">LOWER(_xlfn.CONCAT("  .bg-",B96,"-",B97,"{","background-color: var(--",B96,"-",B97,");","}"))</f>
        <v xml:space="preserve">  .bg-b1-lightest{background-color: var(--b1-lightest);}</v>
      </c>
      <c r="L97">
        <f t="shared" si="14"/>
        <v>9</v>
      </c>
      <c r="M97" t="str">
        <f>INDEX(tbl_Accent_RGBs9224[ID],L97,1)</f>
        <v>a9</v>
      </c>
      <c r="N97">
        <f>INDEX(tbl_Accent_RGBs9224[R],$L97,1)</f>
        <v>180</v>
      </c>
      <c r="O97">
        <f>INDEX(tbl_Accent_RGBs9224[G],$L97,1)</f>
        <v>161</v>
      </c>
      <c r="P97">
        <f>INDEX(tbl_Accent_RGBs9224[B],$L97,1)</f>
        <v>239</v>
      </c>
      <c r="Q97" s="57">
        <v>0.1</v>
      </c>
      <c r="R97" t="str">
        <f t="shared" si="159"/>
        <v xml:space="preserve">    --a9-10: rgba(180, 161, 239, 0.1);</v>
      </c>
      <c r="S97" t="str">
        <f t="shared" si="160"/>
        <v xml:space="preserve">  .bg-a9-10{background-color: var(--a9-10);}</v>
      </c>
    </row>
    <row r="98" spans="2:19" x14ac:dyDescent="0.45">
      <c r="B98" s="27" t="s">
        <v>26</v>
      </c>
      <c r="C98" s="48">
        <f>ROUND(255-((255-C100)*F98),0)</f>
        <v>250</v>
      </c>
      <c r="D98" s="48">
        <f>ROUND(255-((255-D100)*F98),0)</f>
        <v>185</v>
      </c>
      <c r="E98" s="48">
        <f>ROUND(255-((255-E100)*F98),0)</f>
        <v>193</v>
      </c>
      <c r="F98" s="47">
        <v>0.5</v>
      </c>
      <c r="H98" s="48" t="str">
        <f t="shared" ref="H98" si="179">LOWER(_xlfn.CONCAT("    --",B96,"-",B98,": rgba(",C98,", ",D98,", ",E98,", ","1.00",");"))</f>
        <v xml:space="preserve">    --b1-lighter: rgba(250, 185, 193, 1.00);</v>
      </c>
      <c r="I98" s="48" t="str">
        <f t="shared" ref="I98" si="180">LOWER(_xlfn.CONCAT("  .color-",B96,"-",B98,"{","color: var(--",B96,"-",B98,");","}"))</f>
        <v xml:space="preserve">  .color-b1-lighter{color: var(--b1-lighter);}</v>
      </c>
      <c r="J98" s="48" t="str">
        <f t="shared" ref="J98" si="181">LOWER(_xlfn.CONCAT("  .bg-",B96,"-",B98,"{","background-color: var(--",B96,"-",B98,");","}"))</f>
        <v xml:space="preserve">  .bg-b1-lighter{background-color: var(--b1-lighter);}</v>
      </c>
      <c r="L98">
        <f t="shared" si="14"/>
        <v>9</v>
      </c>
      <c r="M98" t="str">
        <f>INDEX(tbl_Accent_RGBs9224[ID],L98,1)</f>
        <v>a9</v>
      </c>
      <c r="N98">
        <f>INDEX(tbl_Accent_RGBs9224[R],$L98,1)</f>
        <v>180</v>
      </c>
      <c r="O98">
        <f>INDEX(tbl_Accent_RGBs9224[G],$L98,1)</f>
        <v>161</v>
      </c>
      <c r="P98">
        <f>INDEX(tbl_Accent_RGBs9224[B],$L98,1)</f>
        <v>239</v>
      </c>
      <c r="Q98" s="57">
        <v>0.2</v>
      </c>
      <c r="R98" t="str">
        <f t="shared" si="159"/>
        <v xml:space="preserve">    --a9-20: rgba(180, 161, 239, 0.2);</v>
      </c>
      <c r="S98" t="str">
        <f t="shared" si="160"/>
        <v xml:space="preserve">  .bg-a9-20{background-color: var(--a9-20);}</v>
      </c>
    </row>
    <row r="99" spans="2:19" x14ac:dyDescent="0.45">
      <c r="B99" s="27" t="s">
        <v>27</v>
      </c>
      <c r="C99" s="48">
        <f>ROUND(255-((255-C100)*F99),0)</f>
        <v>248</v>
      </c>
      <c r="D99" s="48">
        <f>ROUND(255-((255-D100)*F99),0)</f>
        <v>150</v>
      </c>
      <c r="E99" s="48">
        <f>ROUND(255-((255-E100)*F99),0)</f>
        <v>161</v>
      </c>
      <c r="F99" s="47">
        <v>0.75</v>
      </c>
      <c r="H99" s="48" t="str">
        <f t="shared" ref="H99" si="182">LOWER(_xlfn.CONCAT("    --",B96,"-",B99,": rgba(",C99,", ",D99,", ",E99,", ","1.00",");"))</f>
        <v xml:space="preserve">    --b1-light: rgba(248, 150, 161, 1.00);</v>
      </c>
      <c r="I99" s="48" t="str">
        <f t="shared" ref="I99" si="183">LOWER(_xlfn.CONCAT("  .color-",B96,"-",B99,"{","color: var(--",B96,"-",B99,");","}"))</f>
        <v xml:space="preserve">  .color-b1-light{color: var(--b1-light);}</v>
      </c>
      <c r="J99" s="48" t="str">
        <f t="shared" ref="J99" si="184">LOWER(_xlfn.CONCAT("  .bg-",B96,"-",B99,"{","background-color: var(--",B96,"-",B99,");","}"))</f>
        <v xml:space="preserve">  .bg-b1-light{background-color: var(--b1-light);}</v>
      </c>
      <c r="L99">
        <f t="shared" ref="L99:L162" si="185">L90+1</f>
        <v>9</v>
      </c>
      <c r="M99" t="str">
        <f>INDEX(tbl_Accent_RGBs9224[ID],L99,1)</f>
        <v>a9</v>
      </c>
      <c r="N99">
        <f>INDEX(tbl_Accent_RGBs9224[R],$L99,1)</f>
        <v>180</v>
      </c>
      <c r="O99">
        <f>INDEX(tbl_Accent_RGBs9224[G],$L99,1)</f>
        <v>161</v>
      </c>
      <c r="P99">
        <f>INDEX(tbl_Accent_RGBs9224[B],$L99,1)</f>
        <v>239</v>
      </c>
      <c r="Q99" s="57">
        <v>0.3</v>
      </c>
      <c r="R99" t="str">
        <f t="shared" si="159"/>
        <v xml:space="preserve">    --a9-30: rgba(180, 161, 239, 0.3);</v>
      </c>
      <c r="S99" t="str">
        <f t="shared" si="160"/>
        <v xml:space="preserve">  .bg-a9-30{background-color: var(--a9-30);}</v>
      </c>
    </row>
    <row r="100" spans="2:19" x14ac:dyDescent="0.45">
      <c r="B100" s="27" t="s">
        <v>28</v>
      </c>
      <c r="C100" s="50">
        <f>VLOOKUP(B96,$B$3:$E$21,2,FALSE)</f>
        <v>245</v>
      </c>
      <c r="D100" s="50">
        <f>VLOOKUP(B96,$B$3:$E$21,3,FALSE)</f>
        <v>115</v>
      </c>
      <c r="E100" s="50">
        <f>VLOOKUP(B96,$B$3:$E$21,4,FALSE)</f>
        <v>130</v>
      </c>
      <c r="F100" s="47">
        <v>0</v>
      </c>
      <c r="H100" s="48" t="str">
        <f t="shared" ref="H100" si="186">LOWER(_xlfn.CONCAT("    --",B96,"-",B100,": rgba(",C100,", ",D100,", ",E100,", ","1.00",");"))</f>
        <v xml:space="preserve">    --b1-normal: rgba(245, 115, 130, 1.00);</v>
      </c>
      <c r="I100" s="48" t="str">
        <f t="shared" ref="I100" si="187">LOWER(_xlfn.CONCAT("  .color-",B96,"-",B100,"{","color: var(--",B96,"-",B100,");","}"))</f>
        <v xml:space="preserve">  .color-b1-normal{color: var(--b1-normal);}</v>
      </c>
      <c r="J100" s="48" t="str">
        <f t="shared" ref="J100" si="188">LOWER(_xlfn.CONCAT("  .bg-",B96,"-",B100,"{","background-color: var(--",B96,"-",B100,");","}"))</f>
        <v xml:space="preserve">  .bg-b1-normal{background-color: var(--b1-normal);}</v>
      </c>
      <c r="L100">
        <f t="shared" si="185"/>
        <v>9</v>
      </c>
      <c r="M100" t="str">
        <f>INDEX(tbl_Accent_RGBs9224[ID],L100,1)</f>
        <v>a9</v>
      </c>
      <c r="N100">
        <f>INDEX(tbl_Accent_RGBs9224[R],$L100,1)</f>
        <v>180</v>
      </c>
      <c r="O100">
        <f>INDEX(tbl_Accent_RGBs9224[G],$L100,1)</f>
        <v>161</v>
      </c>
      <c r="P100">
        <f>INDEX(tbl_Accent_RGBs9224[B],$L100,1)</f>
        <v>239</v>
      </c>
      <c r="Q100" s="57">
        <v>0.4</v>
      </c>
      <c r="R100" t="str">
        <f t="shared" si="159"/>
        <v xml:space="preserve">    --a9-40: rgba(180, 161, 239, 0.4);</v>
      </c>
      <c r="S100" t="str">
        <f t="shared" si="160"/>
        <v xml:space="preserve">  .bg-a9-40{background-color: var(--a9-40);}</v>
      </c>
    </row>
    <row r="101" spans="2:19" x14ac:dyDescent="0.45">
      <c r="B101" s="27" t="s">
        <v>29</v>
      </c>
      <c r="C101" s="48">
        <f>ROUND(C100*(1+F101),0)</f>
        <v>184</v>
      </c>
      <c r="D101" s="48">
        <f>ROUND(D100*(1+F101),0)</f>
        <v>86</v>
      </c>
      <c r="E101" s="48">
        <f>ROUND(E100*(1+F101),0)</f>
        <v>98</v>
      </c>
      <c r="F101" s="47">
        <v>-0.25</v>
      </c>
      <c r="H101" s="48" t="str">
        <f t="shared" ref="H101" si="189">LOWER(_xlfn.CONCAT("    --",B96,"-",B101,": rgba(",C101,", ",D101,", ",E101,", ","1.00",");"))</f>
        <v xml:space="preserve">    --b1-dark: rgba(184, 86, 98, 1.00);</v>
      </c>
      <c r="I101" s="48" t="str">
        <f t="shared" ref="I101" si="190">LOWER(_xlfn.CONCAT("  .color-",B96,"-",B101,"{","color: var(--",B96,"-",B101,");","}"))</f>
        <v xml:space="preserve">  .color-b1-dark{color: var(--b1-dark);}</v>
      </c>
      <c r="J101" s="48" t="str">
        <f t="shared" ref="J101" si="191">LOWER(_xlfn.CONCAT("  .bg-",B96,"-",B101,"{","background-color: var(--",B96,"-",B101,");","}"))</f>
        <v xml:space="preserve">  .bg-b1-dark{background-color: var(--b1-dark);}</v>
      </c>
      <c r="L101">
        <f t="shared" si="185"/>
        <v>9</v>
      </c>
      <c r="M101" t="str">
        <f>INDEX(tbl_Accent_RGBs9224[ID],L101,1)</f>
        <v>a9</v>
      </c>
      <c r="N101">
        <f>INDEX(tbl_Accent_RGBs9224[R],$L101,1)</f>
        <v>180</v>
      </c>
      <c r="O101">
        <f>INDEX(tbl_Accent_RGBs9224[G],$L101,1)</f>
        <v>161</v>
      </c>
      <c r="P101">
        <f>INDEX(tbl_Accent_RGBs9224[B],$L101,1)</f>
        <v>239</v>
      </c>
      <c r="Q101" s="57">
        <v>0.5</v>
      </c>
      <c r="R101" t="str">
        <f t="shared" si="159"/>
        <v xml:space="preserve">    --a9-50: rgba(180, 161, 239, 0.5);</v>
      </c>
      <c r="S101" t="str">
        <f t="shared" si="160"/>
        <v xml:space="preserve">  .bg-a9-50{background-color: var(--a9-50);}</v>
      </c>
    </row>
    <row r="102" spans="2:19" x14ac:dyDescent="0.45">
      <c r="B102" s="27" t="s">
        <v>30</v>
      </c>
      <c r="C102" s="48">
        <f>ROUND(C100*(1+F102),0)</f>
        <v>123</v>
      </c>
      <c r="D102" s="48">
        <f>ROUND(D100*(1+F102),0)</f>
        <v>58</v>
      </c>
      <c r="E102" s="48">
        <f>ROUND(E100*(1+F102),0)</f>
        <v>65</v>
      </c>
      <c r="F102" s="47">
        <v>-0.5</v>
      </c>
      <c r="H102" s="48" t="str">
        <f t="shared" ref="H102" si="192">LOWER(_xlfn.CONCAT("    --",B96,"-",B102,": rgba(",C102,", ",D102,", ",E102,", ","1.00",");"))</f>
        <v xml:space="preserve">    --b1-darker: rgba(123, 58, 65, 1.00);</v>
      </c>
      <c r="I102" s="48" t="str">
        <f t="shared" ref="I102" si="193">LOWER(_xlfn.CONCAT("  .color-",B96,"-",B102,"{","color: var(--",B96,"-",B102,");","}"))</f>
        <v xml:space="preserve">  .color-b1-darker{color: var(--b1-darker);}</v>
      </c>
      <c r="J102" s="48" t="str">
        <f t="shared" ref="J102" si="194">LOWER(_xlfn.CONCAT("  .bg-",B96,"-",B102,"{","background-color: var(--",B96,"-",B102,");","}"))</f>
        <v xml:space="preserve">  .bg-b1-darker{background-color: var(--b1-darker);}</v>
      </c>
      <c r="L102">
        <f t="shared" si="185"/>
        <v>9</v>
      </c>
      <c r="M102" t="str">
        <f>INDEX(tbl_Accent_RGBs9224[ID],L102,1)</f>
        <v>a9</v>
      </c>
      <c r="N102">
        <f>INDEX(tbl_Accent_RGBs9224[R],$L102,1)</f>
        <v>180</v>
      </c>
      <c r="O102">
        <f>INDEX(tbl_Accent_RGBs9224[G],$L102,1)</f>
        <v>161</v>
      </c>
      <c r="P102">
        <f>INDEX(tbl_Accent_RGBs9224[B],$L102,1)</f>
        <v>239</v>
      </c>
      <c r="Q102" s="57">
        <v>0.6</v>
      </c>
      <c r="R102" t="str">
        <f t="shared" si="159"/>
        <v xml:space="preserve">    --a9-60: rgba(180, 161, 239, 0.6);</v>
      </c>
      <c r="S102" t="str">
        <f t="shared" si="160"/>
        <v xml:space="preserve">  .bg-a9-60{background-color: var(--a9-60);}</v>
      </c>
    </row>
    <row r="103" spans="2:19" x14ac:dyDescent="0.45">
      <c r="B103" s="27" t="s">
        <v>31</v>
      </c>
      <c r="C103" s="48">
        <f>ROUND(C100*(1+F103),0)</f>
        <v>61</v>
      </c>
      <c r="D103" s="48">
        <f>ROUND(D100*(1+F103),0)</f>
        <v>29</v>
      </c>
      <c r="E103" s="48">
        <f>ROUND(E100*(1+F103),0)</f>
        <v>33</v>
      </c>
      <c r="F103" s="47">
        <v>-0.75</v>
      </c>
      <c r="H103" s="48" t="str">
        <f t="shared" ref="H103" si="195">LOWER(_xlfn.CONCAT("    --",B96,"-",B103,": rgba(",C103,", ",D103,", ",E103,", ","1.00",");"))</f>
        <v xml:space="preserve">    --b1-darkest: rgba(61, 29, 33, 1.00);</v>
      </c>
      <c r="I103" s="48" t="str">
        <f t="shared" ref="I103" si="196">LOWER(_xlfn.CONCAT("  .color-",B96,"-",B103,"{","color: var(--",B96,"-",B103,");","}"))</f>
        <v xml:space="preserve">  .color-b1-darkest{color: var(--b1-darkest);}</v>
      </c>
      <c r="J103" s="48" t="str">
        <f t="shared" ref="J103" si="197">LOWER(_xlfn.CONCAT("  .bg-",B96,"-",B103,"{","background-color: var(--",B96,"-",B103,");","}"))</f>
        <v xml:space="preserve">  .bg-b1-darkest{background-color: var(--b1-darkest);}</v>
      </c>
      <c r="L103">
        <f t="shared" si="185"/>
        <v>9</v>
      </c>
      <c r="M103" t="str">
        <f>INDEX(tbl_Accent_RGBs9224[ID],L103,1)</f>
        <v>a9</v>
      </c>
      <c r="N103">
        <f>INDEX(tbl_Accent_RGBs9224[R],$L103,1)</f>
        <v>180</v>
      </c>
      <c r="O103">
        <f>INDEX(tbl_Accent_RGBs9224[G],$L103,1)</f>
        <v>161</v>
      </c>
      <c r="P103">
        <f>INDEX(tbl_Accent_RGBs9224[B],$L103,1)</f>
        <v>239</v>
      </c>
      <c r="Q103" s="57">
        <v>0.7</v>
      </c>
      <c r="R103" t="str">
        <f t="shared" si="159"/>
        <v xml:space="preserve">    --a9-70: rgba(180, 161, 239, 0.7);</v>
      </c>
      <c r="S103" t="str">
        <f t="shared" si="160"/>
        <v xml:space="preserve">  .bg-a9-70{background-color: var(--a9-70);}</v>
      </c>
    </row>
    <row r="104" spans="2:19" x14ac:dyDescent="0.45">
      <c r="B104" s="46" t="s">
        <v>48</v>
      </c>
      <c r="C104" s="49" t="s">
        <v>33</v>
      </c>
      <c r="D104" s="49" t="s">
        <v>34</v>
      </c>
      <c r="E104" s="49" t="s">
        <v>35</v>
      </c>
      <c r="F104" s="49" t="s">
        <v>36</v>
      </c>
      <c r="H104" s="49"/>
      <c r="I104" s="49"/>
      <c r="J104" s="49"/>
      <c r="L104">
        <f t="shared" si="185"/>
        <v>9</v>
      </c>
      <c r="M104" t="str">
        <f>INDEX(tbl_Accent_RGBs9224[ID],L104,1)</f>
        <v>a9</v>
      </c>
      <c r="N104">
        <f>INDEX(tbl_Accent_RGBs9224[R],$L104,1)</f>
        <v>180</v>
      </c>
      <c r="O104">
        <f>INDEX(tbl_Accent_RGBs9224[G],$L104,1)</f>
        <v>161</v>
      </c>
      <c r="P104">
        <f>INDEX(tbl_Accent_RGBs9224[B],$L104,1)</f>
        <v>239</v>
      </c>
      <c r="Q104" s="57">
        <v>0.8</v>
      </c>
      <c r="R104" t="str">
        <f t="shared" si="159"/>
        <v xml:space="preserve">    --a9-80: rgba(180, 161, 239, 0.8);</v>
      </c>
      <c r="S104" t="str">
        <f t="shared" si="160"/>
        <v xml:space="preserve">  .bg-a9-80{background-color: var(--a9-80);}</v>
      </c>
    </row>
    <row r="105" spans="2:19" x14ac:dyDescent="0.45">
      <c r="B105" s="27" t="s">
        <v>25</v>
      </c>
      <c r="C105" s="48">
        <f>ROUND(255-((255-C108)*F105),0)</f>
        <v>253</v>
      </c>
      <c r="D105" s="48">
        <f>ROUND(255-((255-D108)*F105),0)</f>
        <v>228</v>
      </c>
      <c r="E105" s="48">
        <f>ROUND(255-((255-E108)*F105),0)</f>
        <v>220</v>
      </c>
      <c r="F105" s="47">
        <v>0.25</v>
      </c>
      <c r="H105" s="48" t="str">
        <f t="shared" ref="H105" si="198">LOWER(_xlfn.CONCAT("    --",B104,"-",B105,": rgba(",C105,", ",D105,", ",E105,", ","1.00",");"))</f>
        <v xml:space="preserve">    --b2-lightest: rgba(253, 228, 220, 1.00);</v>
      </c>
      <c r="I105" s="48" t="str">
        <f t="shared" ref="I105" si="199">LOWER(_xlfn.CONCAT("  .color-",B104,"-",B105,"{","color: var(--",B104,"-",B105,");","}"))</f>
        <v xml:space="preserve">  .color-b2-lightest{color: var(--b2-lightest);}</v>
      </c>
      <c r="J105" s="48" t="str">
        <f t="shared" ref="J105" si="200">LOWER(_xlfn.CONCAT("  .bg-",B104,"-",B105,"{","background-color: var(--",B104,"-",B105,");","}"))</f>
        <v xml:space="preserve">  .bg-b2-lightest{background-color: var(--b2-lightest);}</v>
      </c>
      <c r="L105">
        <f t="shared" si="185"/>
        <v>9</v>
      </c>
      <c r="M105" t="str">
        <f>INDEX(tbl_Accent_RGBs9224[ID],L105,1)</f>
        <v>a9</v>
      </c>
      <c r="N105">
        <f>INDEX(tbl_Accent_RGBs9224[R],$L105,1)</f>
        <v>180</v>
      </c>
      <c r="O105">
        <f>INDEX(tbl_Accent_RGBs9224[G],$L105,1)</f>
        <v>161</v>
      </c>
      <c r="P105">
        <f>INDEX(tbl_Accent_RGBs9224[B],$L105,1)</f>
        <v>239</v>
      </c>
      <c r="Q105" s="57">
        <v>0.9</v>
      </c>
      <c r="R105" t="str">
        <f t="shared" si="159"/>
        <v xml:space="preserve">    --a9-90: rgba(180, 161, 239, 0.9);</v>
      </c>
      <c r="S105" t="str">
        <f t="shared" si="160"/>
        <v xml:space="preserve">  .bg-a9-90{background-color: var(--a9-90);}</v>
      </c>
    </row>
    <row r="106" spans="2:19" x14ac:dyDescent="0.45">
      <c r="B106" s="27" t="s">
        <v>26</v>
      </c>
      <c r="C106" s="48">
        <f>ROUND(255-((255-C108)*F106),0)</f>
        <v>250</v>
      </c>
      <c r="D106" s="48">
        <f>ROUND(255-((255-D108)*F106),0)</f>
        <v>201</v>
      </c>
      <c r="E106" s="48">
        <f>ROUND(255-((255-E108)*F106),0)</f>
        <v>185</v>
      </c>
      <c r="F106" s="47">
        <v>0.5</v>
      </c>
      <c r="H106" s="48" t="str">
        <f t="shared" ref="H106" si="201">LOWER(_xlfn.CONCAT("    --",B104,"-",B106,": rgba(",C106,", ",D106,", ",E106,", ","1.00",");"))</f>
        <v xml:space="preserve">    --b2-lighter: rgba(250, 201, 185, 1.00);</v>
      </c>
      <c r="I106" s="48" t="str">
        <f t="shared" ref="I106" si="202">LOWER(_xlfn.CONCAT("  .color-",B104,"-",B106,"{","color: var(--",B104,"-",B106,");","}"))</f>
        <v xml:space="preserve">  .color-b2-lighter{color: var(--b2-lighter);}</v>
      </c>
      <c r="J106" s="48" t="str">
        <f t="shared" ref="J106" si="203">LOWER(_xlfn.CONCAT("  .bg-",B104,"-",B106,"{","background-color: var(--",B104,"-",B106,");","}"))</f>
        <v xml:space="preserve">  .bg-b2-lighter{background-color: var(--b2-lighter);}</v>
      </c>
      <c r="L106">
        <f t="shared" si="185"/>
        <v>10</v>
      </c>
      <c r="M106" t="str">
        <f>INDEX(tbl_Accent_RGBs9224[ID],L106,1)</f>
        <v>b1</v>
      </c>
      <c r="N106">
        <f>INDEX(tbl_Accent_RGBs9224[R],$L106,1)</f>
        <v>245</v>
      </c>
      <c r="O106">
        <f>INDEX(tbl_Accent_RGBs9224[G],$L106,1)</f>
        <v>115</v>
      </c>
      <c r="P106">
        <f>INDEX(tbl_Accent_RGBs9224[B],$L106,1)</f>
        <v>130</v>
      </c>
      <c r="Q106" s="57">
        <v>0.1</v>
      </c>
      <c r="R106" t="str">
        <f t="shared" si="159"/>
        <v xml:space="preserve">    --b1-10: rgba(245, 115, 130, 0.1);</v>
      </c>
      <c r="S106" t="str">
        <f t="shared" si="160"/>
        <v xml:space="preserve">  .bg-b1-10{background-color: var(--b1-10);}</v>
      </c>
    </row>
    <row r="107" spans="2:19" x14ac:dyDescent="0.45">
      <c r="B107" s="27" t="s">
        <v>27</v>
      </c>
      <c r="C107" s="48">
        <f>ROUND(255-((255-C108)*F107),0)</f>
        <v>248</v>
      </c>
      <c r="D107" s="48">
        <f>ROUND(255-((255-D108)*F107),0)</f>
        <v>173</v>
      </c>
      <c r="E107" s="48">
        <f>ROUND(255-((255-E108)*F107),0)</f>
        <v>150</v>
      </c>
      <c r="F107" s="47">
        <v>0.75</v>
      </c>
      <c r="H107" s="48" t="str">
        <f t="shared" ref="H107" si="204">LOWER(_xlfn.CONCAT("    --",B104,"-",B107,": rgba(",C107,", ",D107,", ",E107,", ","1.00",");"))</f>
        <v xml:space="preserve">    --b2-light: rgba(248, 173, 150, 1.00);</v>
      </c>
      <c r="I107" s="48" t="str">
        <f t="shared" ref="I107" si="205">LOWER(_xlfn.CONCAT("  .color-",B104,"-",B107,"{","color: var(--",B104,"-",B107,");","}"))</f>
        <v xml:space="preserve">  .color-b2-light{color: var(--b2-light);}</v>
      </c>
      <c r="J107" s="48" t="str">
        <f t="shared" ref="J107" si="206">LOWER(_xlfn.CONCAT("  .bg-",B104,"-",B107,"{","background-color: var(--",B104,"-",B107,");","}"))</f>
        <v xml:space="preserve">  .bg-b2-light{background-color: var(--b2-light);}</v>
      </c>
      <c r="L107">
        <f t="shared" si="185"/>
        <v>10</v>
      </c>
      <c r="M107" t="str">
        <f>INDEX(tbl_Accent_RGBs9224[ID],L107,1)</f>
        <v>b1</v>
      </c>
      <c r="N107">
        <f>INDEX(tbl_Accent_RGBs9224[R],$L107,1)</f>
        <v>245</v>
      </c>
      <c r="O107">
        <f>INDEX(tbl_Accent_RGBs9224[G],$L107,1)</f>
        <v>115</v>
      </c>
      <c r="P107">
        <f>INDEX(tbl_Accent_RGBs9224[B],$L107,1)</f>
        <v>130</v>
      </c>
      <c r="Q107" s="57">
        <v>0.2</v>
      </c>
      <c r="R107" t="str">
        <f t="shared" si="159"/>
        <v xml:space="preserve">    --b1-20: rgba(245, 115, 130, 0.2);</v>
      </c>
      <c r="S107" t="str">
        <f t="shared" si="160"/>
        <v xml:space="preserve">  .bg-b1-20{background-color: var(--b1-20);}</v>
      </c>
    </row>
    <row r="108" spans="2:19" x14ac:dyDescent="0.45">
      <c r="B108" s="27" t="s">
        <v>28</v>
      </c>
      <c r="C108" s="50">
        <f>VLOOKUP(B104,$B$3:$E$21,2,FALSE)</f>
        <v>245</v>
      </c>
      <c r="D108" s="50">
        <f>VLOOKUP(B104,$B$3:$E$21,3,FALSE)</f>
        <v>146</v>
      </c>
      <c r="E108" s="50">
        <f>VLOOKUP(B104,$B$3:$E$21,4,FALSE)</f>
        <v>115</v>
      </c>
      <c r="F108" s="47">
        <v>0</v>
      </c>
      <c r="H108" s="48" t="str">
        <f t="shared" ref="H108" si="207">LOWER(_xlfn.CONCAT("    --",B104,"-",B108,": rgba(",C108,", ",D108,", ",E108,", ","1.00",");"))</f>
        <v xml:space="preserve">    --b2-normal: rgba(245, 146, 115, 1.00);</v>
      </c>
      <c r="I108" s="48" t="str">
        <f t="shared" ref="I108" si="208">LOWER(_xlfn.CONCAT("  .color-",B104,"-",B108,"{","color: var(--",B104,"-",B108,");","}"))</f>
        <v xml:space="preserve">  .color-b2-normal{color: var(--b2-normal);}</v>
      </c>
      <c r="J108" s="48" t="str">
        <f t="shared" ref="J108" si="209">LOWER(_xlfn.CONCAT("  .bg-",B104,"-",B108,"{","background-color: var(--",B104,"-",B108,");","}"))</f>
        <v xml:space="preserve">  .bg-b2-normal{background-color: var(--b2-normal);}</v>
      </c>
      <c r="L108">
        <f t="shared" si="185"/>
        <v>10</v>
      </c>
      <c r="M108" t="str">
        <f>INDEX(tbl_Accent_RGBs9224[ID],L108,1)</f>
        <v>b1</v>
      </c>
      <c r="N108">
        <f>INDEX(tbl_Accent_RGBs9224[R],$L108,1)</f>
        <v>245</v>
      </c>
      <c r="O108">
        <f>INDEX(tbl_Accent_RGBs9224[G],$L108,1)</f>
        <v>115</v>
      </c>
      <c r="P108">
        <f>INDEX(tbl_Accent_RGBs9224[B],$L108,1)</f>
        <v>130</v>
      </c>
      <c r="Q108" s="57">
        <v>0.3</v>
      </c>
      <c r="R108" t="str">
        <f t="shared" si="159"/>
        <v xml:space="preserve">    --b1-30: rgba(245, 115, 130, 0.3);</v>
      </c>
      <c r="S108" t="str">
        <f t="shared" si="160"/>
        <v xml:space="preserve">  .bg-b1-30{background-color: var(--b1-30);}</v>
      </c>
    </row>
    <row r="109" spans="2:19" x14ac:dyDescent="0.45">
      <c r="B109" s="27" t="s">
        <v>29</v>
      </c>
      <c r="C109" s="48">
        <f>ROUND(C108*(1+F109),0)</f>
        <v>184</v>
      </c>
      <c r="D109" s="48">
        <f>ROUND(D108*(1+F109),0)</f>
        <v>110</v>
      </c>
      <c r="E109" s="48">
        <f>ROUND(E108*(1+F109),0)</f>
        <v>86</v>
      </c>
      <c r="F109" s="47">
        <v>-0.25</v>
      </c>
      <c r="H109" s="48" t="str">
        <f t="shared" ref="H109" si="210">LOWER(_xlfn.CONCAT("    --",B104,"-",B109,": rgba(",C109,", ",D109,", ",E109,", ","1.00",");"))</f>
        <v xml:space="preserve">    --b2-dark: rgba(184, 110, 86, 1.00);</v>
      </c>
      <c r="I109" s="48" t="str">
        <f t="shared" ref="I109" si="211">LOWER(_xlfn.CONCAT("  .color-",B104,"-",B109,"{","color: var(--",B104,"-",B109,");","}"))</f>
        <v xml:space="preserve">  .color-b2-dark{color: var(--b2-dark);}</v>
      </c>
      <c r="J109" s="48" t="str">
        <f t="shared" ref="J109" si="212">LOWER(_xlfn.CONCAT("  .bg-",B104,"-",B109,"{","background-color: var(--",B104,"-",B109,");","}"))</f>
        <v xml:space="preserve">  .bg-b2-dark{background-color: var(--b2-dark);}</v>
      </c>
      <c r="L109">
        <f t="shared" si="185"/>
        <v>10</v>
      </c>
      <c r="M109" t="str">
        <f>INDEX(tbl_Accent_RGBs9224[ID],L109,1)</f>
        <v>b1</v>
      </c>
      <c r="N109">
        <f>INDEX(tbl_Accent_RGBs9224[R],$L109,1)</f>
        <v>245</v>
      </c>
      <c r="O109">
        <f>INDEX(tbl_Accent_RGBs9224[G],$L109,1)</f>
        <v>115</v>
      </c>
      <c r="P109">
        <f>INDEX(tbl_Accent_RGBs9224[B],$L109,1)</f>
        <v>130</v>
      </c>
      <c r="Q109" s="57">
        <v>0.4</v>
      </c>
      <c r="R109" t="str">
        <f t="shared" si="159"/>
        <v xml:space="preserve">    --b1-40: rgba(245, 115, 130, 0.4);</v>
      </c>
      <c r="S109" t="str">
        <f t="shared" si="160"/>
        <v xml:space="preserve">  .bg-b1-40{background-color: var(--b1-40);}</v>
      </c>
    </row>
    <row r="110" spans="2:19" x14ac:dyDescent="0.45">
      <c r="B110" s="27" t="s">
        <v>30</v>
      </c>
      <c r="C110" s="48">
        <f>ROUND(C108*(1+F110),0)</f>
        <v>123</v>
      </c>
      <c r="D110" s="48">
        <f>ROUND(D108*(1+F110),0)</f>
        <v>73</v>
      </c>
      <c r="E110" s="48">
        <f>ROUND(E108*(1+F110),0)</f>
        <v>58</v>
      </c>
      <c r="F110" s="47">
        <v>-0.5</v>
      </c>
      <c r="H110" s="48" t="str">
        <f t="shared" ref="H110" si="213">LOWER(_xlfn.CONCAT("    --",B104,"-",B110,": rgba(",C110,", ",D110,", ",E110,", ","1.00",");"))</f>
        <v xml:space="preserve">    --b2-darker: rgba(123, 73, 58, 1.00);</v>
      </c>
      <c r="I110" s="48" t="str">
        <f t="shared" ref="I110" si="214">LOWER(_xlfn.CONCAT("  .color-",B104,"-",B110,"{","color: var(--",B104,"-",B110,");","}"))</f>
        <v xml:space="preserve">  .color-b2-darker{color: var(--b2-darker);}</v>
      </c>
      <c r="J110" s="48" t="str">
        <f t="shared" ref="J110" si="215">LOWER(_xlfn.CONCAT("  .bg-",B104,"-",B110,"{","background-color: var(--",B104,"-",B110,");","}"))</f>
        <v xml:space="preserve">  .bg-b2-darker{background-color: var(--b2-darker);}</v>
      </c>
      <c r="L110">
        <f t="shared" si="185"/>
        <v>10</v>
      </c>
      <c r="M110" t="str">
        <f>INDEX(tbl_Accent_RGBs9224[ID],L110,1)</f>
        <v>b1</v>
      </c>
      <c r="N110">
        <f>INDEX(tbl_Accent_RGBs9224[R],$L110,1)</f>
        <v>245</v>
      </c>
      <c r="O110">
        <f>INDEX(tbl_Accent_RGBs9224[G],$L110,1)</f>
        <v>115</v>
      </c>
      <c r="P110">
        <f>INDEX(tbl_Accent_RGBs9224[B],$L110,1)</f>
        <v>130</v>
      </c>
      <c r="Q110" s="57">
        <v>0.5</v>
      </c>
      <c r="R110" t="str">
        <f t="shared" si="159"/>
        <v xml:space="preserve">    --b1-50: rgba(245, 115, 130, 0.5);</v>
      </c>
      <c r="S110" t="str">
        <f t="shared" si="160"/>
        <v xml:space="preserve">  .bg-b1-50{background-color: var(--b1-50);}</v>
      </c>
    </row>
    <row r="111" spans="2:19" x14ac:dyDescent="0.45">
      <c r="B111" s="27" t="s">
        <v>31</v>
      </c>
      <c r="C111" s="48">
        <f>ROUND(C108*(1+F111),0)</f>
        <v>61</v>
      </c>
      <c r="D111" s="48">
        <f>ROUND(D108*(1+F111),0)</f>
        <v>37</v>
      </c>
      <c r="E111" s="48">
        <f>ROUND(E108*(1+F111),0)</f>
        <v>29</v>
      </c>
      <c r="F111" s="47">
        <v>-0.75</v>
      </c>
      <c r="H111" s="48" t="str">
        <f t="shared" ref="H111" si="216">LOWER(_xlfn.CONCAT("    --",B104,"-",B111,": rgba(",C111,", ",D111,", ",E111,", ","1.00",");"))</f>
        <v xml:space="preserve">    --b2-darkest: rgba(61, 37, 29, 1.00);</v>
      </c>
      <c r="I111" s="48" t="str">
        <f t="shared" ref="I111" si="217">LOWER(_xlfn.CONCAT("  .color-",B104,"-",B111,"{","color: var(--",B104,"-",B111,");","}"))</f>
        <v xml:space="preserve">  .color-b2-darkest{color: var(--b2-darkest);}</v>
      </c>
      <c r="J111" s="48" t="str">
        <f t="shared" ref="J111" si="218">LOWER(_xlfn.CONCAT("  .bg-",B104,"-",B111,"{","background-color: var(--",B104,"-",B111,");","}"))</f>
        <v xml:space="preserve">  .bg-b2-darkest{background-color: var(--b2-darkest);}</v>
      </c>
      <c r="L111">
        <f t="shared" si="185"/>
        <v>10</v>
      </c>
      <c r="M111" t="str">
        <f>INDEX(tbl_Accent_RGBs9224[ID],L111,1)</f>
        <v>b1</v>
      </c>
      <c r="N111">
        <f>INDEX(tbl_Accent_RGBs9224[R],$L111,1)</f>
        <v>245</v>
      </c>
      <c r="O111">
        <f>INDEX(tbl_Accent_RGBs9224[G],$L111,1)</f>
        <v>115</v>
      </c>
      <c r="P111">
        <f>INDEX(tbl_Accent_RGBs9224[B],$L111,1)</f>
        <v>130</v>
      </c>
      <c r="Q111" s="57">
        <v>0.6</v>
      </c>
      <c r="R111" t="str">
        <f t="shared" si="159"/>
        <v xml:space="preserve">    --b1-60: rgba(245, 115, 130, 0.6);</v>
      </c>
      <c r="S111" t="str">
        <f t="shared" si="160"/>
        <v xml:space="preserve">  .bg-b1-60{background-color: var(--b1-60);}</v>
      </c>
    </row>
    <row r="112" spans="2:19" x14ac:dyDescent="0.45">
      <c r="B112" s="46" t="s">
        <v>49</v>
      </c>
      <c r="C112" s="49" t="s">
        <v>33</v>
      </c>
      <c r="D112" s="49" t="s">
        <v>34</v>
      </c>
      <c r="E112" s="49" t="s">
        <v>35</v>
      </c>
      <c r="F112" s="49" t="s">
        <v>36</v>
      </c>
      <c r="H112" s="49"/>
      <c r="I112" s="49"/>
      <c r="J112" s="49"/>
      <c r="L112">
        <f t="shared" si="185"/>
        <v>10</v>
      </c>
      <c r="M112" t="str">
        <f>INDEX(tbl_Accent_RGBs9224[ID],L112,1)</f>
        <v>b1</v>
      </c>
      <c r="N112">
        <f>INDEX(tbl_Accent_RGBs9224[R],$L112,1)</f>
        <v>245</v>
      </c>
      <c r="O112">
        <f>INDEX(tbl_Accent_RGBs9224[G],$L112,1)</f>
        <v>115</v>
      </c>
      <c r="P112">
        <f>INDEX(tbl_Accent_RGBs9224[B],$L112,1)</f>
        <v>130</v>
      </c>
      <c r="Q112" s="57">
        <v>0.7</v>
      </c>
      <c r="R112" t="str">
        <f t="shared" si="159"/>
        <v xml:space="preserve">    --b1-70: rgba(245, 115, 130, 0.7);</v>
      </c>
      <c r="S112" t="str">
        <f t="shared" si="160"/>
        <v xml:space="preserve">  .bg-b1-70{background-color: var(--b1-70);}</v>
      </c>
    </row>
    <row r="113" spans="2:19" x14ac:dyDescent="0.45">
      <c r="B113" s="27" t="s">
        <v>25</v>
      </c>
      <c r="C113" s="48">
        <f>ROUND(255-((255-C116)*F113),0)</f>
        <v>253</v>
      </c>
      <c r="D113" s="48">
        <f>ROUND(255-((255-D116)*F113),0)</f>
        <v>243</v>
      </c>
      <c r="E113" s="48">
        <f>ROUND(255-((255-E116)*F113),0)</f>
        <v>220</v>
      </c>
      <c r="F113" s="47">
        <v>0.25</v>
      </c>
      <c r="H113" s="48" t="str">
        <f t="shared" ref="H113" si="219">LOWER(_xlfn.CONCAT("    --",B112,"-",B113,": rgba(",C113,", ",D113,", ",E113,", ","1.00",");"))</f>
        <v xml:space="preserve">    --b3-lightest: rgba(253, 243, 220, 1.00);</v>
      </c>
      <c r="I113" s="48" t="str">
        <f t="shared" ref="I113" si="220">LOWER(_xlfn.CONCAT("  .color-",B112,"-",B113,"{","color: var(--",B112,"-",B113,");","}"))</f>
        <v xml:space="preserve">  .color-b3-lightest{color: var(--b3-lightest);}</v>
      </c>
      <c r="J113" s="48" t="str">
        <f t="shared" ref="J113" si="221">LOWER(_xlfn.CONCAT("  .bg-",B112,"-",B113,"{","background-color: var(--",B112,"-",B113,");","}"))</f>
        <v xml:space="preserve">  .bg-b3-lightest{background-color: var(--b3-lightest);}</v>
      </c>
      <c r="L113">
        <f t="shared" si="185"/>
        <v>10</v>
      </c>
      <c r="M113" t="str">
        <f>INDEX(tbl_Accent_RGBs9224[ID],L113,1)</f>
        <v>b1</v>
      </c>
      <c r="N113">
        <f>INDEX(tbl_Accent_RGBs9224[R],$L113,1)</f>
        <v>245</v>
      </c>
      <c r="O113">
        <f>INDEX(tbl_Accent_RGBs9224[G],$L113,1)</f>
        <v>115</v>
      </c>
      <c r="P113">
        <f>INDEX(tbl_Accent_RGBs9224[B],$L113,1)</f>
        <v>130</v>
      </c>
      <c r="Q113" s="57">
        <v>0.8</v>
      </c>
      <c r="R113" t="str">
        <f t="shared" si="159"/>
        <v xml:space="preserve">    --b1-80: rgba(245, 115, 130, 0.8);</v>
      </c>
      <c r="S113" t="str">
        <f t="shared" si="160"/>
        <v xml:space="preserve">  .bg-b1-80{background-color: var(--b1-80);}</v>
      </c>
    </row>
    <row r="114" spans="2:19" x14ac:dyDescent="0.45">
      <c r="B114" s="27" t="s">
        <v>26</v>
      </c>
      <c r="C114" s="48">
        <f>ROUND(255-((255-C116)*F114),0)</f>
        <v>250</v>
      </c>
      <c r="D114" s="48">
        <f>ROUND(255-((255-D116)*F114),0)</f>
        <v>232</v>
      </c>
      <c r="E114" s="48">
        <f>ROUND(255-((255-E116)*F114),0)</f>
        <v>185</v>
      </c>
      <c r="F114" s="47">
        <v>0.5</v>
      </c>
      <c r="H114" s="48" t="str">
        <f t="shared" ref="H114" si="222">LOWER(_xlfn.CONCAT("    --",B112,"-",B114,": rgba(",C114,", ",D114,", ",E114,", ","1.00",");"))</f>
        <v xml:space="preserve">    --b3-lighter: rgba(250, 232, 185, 1.00);</v>
      </c>
      <c r="I114" s="48" t="str">
        <f t="shared" ref="I114" si="223">LOWER(_xlfn.CONCAT("  .color-",B112,"-",B114,"{","color: var(--",B112,"-",B114,");","}"))</f>
        <v xml:space="preserve">  .color-b3-lighter{color: var(--b3-lighter);}</v>
      </c>
      <c r="J114" s="48" t="str">
        <f t="shared" ref="J114" si="224">LOWER(_xlfn.CONCAT("  .bg-",B112,"-",B114,"{","background-color: var(--",B112,"-",B114,");","}"))</f>
        <v xml:space="preserve">  .bg-b3-lighter{background-color: var(--b3-lighter);}</v>
      </c>
      <c r="L114">
        <f t="shared" si="185"/>
        <v>10</v>
      </c>
      <c r="M114" t="str">
        <f>INDEX(tbl_Accent_RGBs9224[ID],L114,1)</f>
        <v>b1</v>
      </c>
      <c r="N114">
        <f>INDEX(tbl_Accent_RGBs9224[R],$L114,1)</f>
        <v>245</v>
      </c>
      <c r="O114">
        <f>INDEX(tbl_Accent_RGBs9224[G],$L114,1)</f>
        <v>115</v>
      </c>
      <c r="P114">
        <f>INDEX(tbl_Accent_RGBs9224[B],$L114,1)</f>
        <v>130</v>
      </c>
      <c r="Q114" s="57">
        <v>0.9</v>
      </c>
      <c r="R114" t="str">
        <f t="shared" si="159"/>
        <v xml:space="preserve">    --b1-90: rgba(245, 115, 130, 0.9);</v>
      </c>
      <c r="S114" t="str">
        <f t="shared" si="160"/>
        <v xml:space="preserve">  .bg-b1-90{background-color: var(--b1-90);}</v>
      </c>
    </row>
    <row r="115" spans="2:19" x14ac:dyDescent="0.45">
      <c r="B115" s="27" t="s">
        <v>27</v>
      </c>
      <c r="C115" s="48">
        <f>ROUND(255-((255-C116)*F115),0)</f>
        <v>248</v>
      </c>
      <c r="D115" s="48">
        <f>ROUND(255-((255-D116)*F115),0)</f>
        <v>220</v>
      </c>
      <c r="E115" s="48">
        <f>ROUND(255-((255-E116)*F115),0)</f>
        <v>150</v>
      </c>
      <c r="F115" s="47">
        <v>0.75</v>
      </c>
      <c r="H115" s="48" t="str">
        <f t="shared" ref="H115" si="225">LOWER(_xlfn.CONCAT("    --",B112,"-",B115,": rgba(",C115,", ",D115,", ",E115,", ","1.00",");"))</f>
        <v xml:space="preserve">    --b3-light: rgba(248, 220, 150, 1.00);</v>
      </c>
      <c r="I115" s="48" t="str">
        <f t="shared" ref="I115" si="226">LOWER(_xlfn.CONCAT("  .color-",B112,"-",B115,"{","color: var(--",B112,"-",B115,");","}"))</f>
        <v xml:space="preserve">  .color-b3-light{color: var(--b3-light);}</v>
      </c>
      <c r="J115" s="48" t="str">
        <f t="shared" ref="J115" si="227">LOWER(_xlfn.CONCAT("  .bg-",B112,"-",B115,"{","background-color: var(--",B112,"-",B115,");","}"))</f>
        <v xml:space="preserve">  .bg-b3-light{background-color: var(--b3-light);}</v>
      </c>
      <c r="L115">
        <f t="shared" si="185"/>
        <v>11</v>
      </c>
      <c r="M115" t="str">
        <f>INDEX(tbl_Accent_RGBs9224[ID],L115,1)</f>
        <v>b2</v>
      </c>
      <c r="N115">
        <f>INDEX(tbl_Accent_RGBs9224[R],$L115,1)</f>
        <v>245</v>
      </c>
      <c r="O115">
        <f>INDEX(tbl_Accent_RGBs9224[G],$L115,1)</f>
        <v>146</v>
      </c>
      <c r="P115">
        <f>INDEX(tbl_Accent_RGBs9224[B],$L115,1)</f>
        <v>115</v>
      </c>
      <c r="Q115" s="57">
        <v>0.1</v>
      </c>
      <c r="R115" t="str">
        <f t="shared" si="159"/>
        <v xml:space="preserve">    --b2-10: rgba(245, 146, 115, 0.1);</v>
      </c>
      <c r="S115" t="str">
        <f t="shared" si="160"/>
        <v xml:space="preserve">  .bg-b2-10{background-color: var(--b2-10);}</v>
      </c>
    </row>
    <row r="116" spans="2:19" x14ac:dyDescent="0.45">
      <c r="B116" s="27" t="s">
        <v>28</v>
      </c>
      <c r="C116" s="50">
        <f>VLOOKUP(B112,$B$3:$E$21,2,FALSE)</f>
        <v>245</v>
      </c>
      <c r="D116" s="50">
        <f>VLOOKUP(B112,$B$3:$E$21,3,FALSE)</f>
        <v>208</v>
      </c>
      <c r="E116" s="50">
        <f>VLOOKUP(B112,$B$3:$E$21,4,FALSE)</f>
        <v>115</v>
      </c>
      <c r="F116" s="47">
        <v>0</v>
      </c>
      <c r="H116" s="48" t="str">
        <f t="shared" ref="H116" si="228">LOWER(_xlfn.CONCAT("    --",B112,"-",B116,": rgba(",C116,", ",D116,", ",E116,", ","1.00",");"))</f>
        <v xml:space="preserve">    --b3-normal: rgba(245, 208, 115, 1.00);</v>
      </c>
      <c r="I116" s="48" t="str">
        <f t="shared" ref="I116" si="229">LOWER(_xlfn.CONCAT("  .color-",B112,"-",B116,"{","color: var(--",B112,"-",B116,");","}"))</f>
        <v xml:space="preserve">  .color-b3-normal{color: var(--b3-normal);}</v>
      </c>
      <c r="J116" s="48" t="str">
        <f t="shared" ref="J116" si="230">LOWER(_xlfn.CONCAT("  .bg-",B112,"-",B116,"{","background-color: var(--",B112,"-",B116,");","}"))</f>
        <v xml:space="preserve">  .bg-b3-normal{background-color: var(--b3-normal);}</v>
      </c>
      <c r="L116">
        <f t="shared" si="185"/>
        <v>11</v>
      </c>
      <c r="M116" t="str">
        <f>INDEX(tbl_Accent_RGBs9224[ID],L116,1)</f>
        <v>b2</v>
      </c>
      <c r="N116">
        <f>INDEX(tbl_Accent_RGBs9224[R],$L116,1)</f>
        <v>245</v>
      </c>
      <c r="O116">
        <f>INDEX(tbl_Accent_RGBs9224[G],$L116,1)</f>
        <v>146</v>
      </c>
      <c r="P116">
        <f>INDEX(tbl_Accent_RGBs9224[B],$L116,1)</f>
        <v>115</v>
      </c>
      <c r="Q116" s="57">
        <v>0.2</v>
      </c>
      <c r="R116" t="str">
        <f t="shared" si="159"/>
        <v xml:space="preserve">    --b2-20: rgba(245, 146, 115, 0.2);</v>
      </c>
      <c r="S116" t="str">
        <f t="shared" si="160"/>
        <v xml:space="preserve">  .bg-b2-20{background-color: var(--b2-20);}</v>
      </c>
    </row>
    <row r="117" spans="2:19" x14ac:dyDescent="0.45">
      <c r="B117" s="27" t="s">
        <v>29</v>
      </c>
      <c r="C117" s="48">
        <f>ROUND(C116*(1+F117),0)</f>
        <v>184</v>
      </c>
      <c r="D117" s="48">
        <f>ROUND(D116*(1+F117),0)</f>
        <v>156</v>
      </c>
      <c r="E117" s="48">
        <f>ROUND(E116*(1+F117),0)</f>
        <v>86</v>
      </c>
      <c r="F117" s="47">
        <v>-0.25</v>
      </c>
      <c r="H117" s="48" t="str">
        <f t="shared" ref="H117" si="231">LOWER(_xlfn.CONCAT("    --",B112,"-",B117,": rgba(",C117,", ",D117,", ",E117,", ","1.00",");"))</f>
        <v xml:space="preserve">    --b3-dark: rgba(184, 156, 86, 1.00);</v>
      </c>
      <c r="I117" s="48" t="str">
        <f t="shared" ref="I117" si="232">LOWER(_xlfn.CONCAT("  .color-",B112,"-",B117,"{","color: var(--",B112,"-",B117,");","}"))</f>
        <v xml:space="preserve">  .color-b3-dark{color: var(--b3-dark);}</v>
      </c>
      <c r="J117" s="48" t="str">
        <f t="shared" ref="J117" si="233">LOWER(_xlfn.CONCAT("  .bg-",B112,"-",B117,"{","background-color: var(--",B112,"-",B117,");","}"))</f>
        <v xml:space="preserve">  .bg-b3-dark{background-color: var(--b3-dark);}</v>
      </c>
      <c r="L117">
        <f t="shared" si="185"/>
        <v>11</v>
      </c>
      <c r="M117" t="str">
        <f>INDEX(tbl_Accent_RGBs9224[ID],L117,1)</f>
        <v>b2</v>
      </c>
      <c r="N117">
        <f>INDEX(tbl_Accent_RGBs9224[R],$L117,1)</f>
        <v>245</v>
      </c>
      <c r="O117">
        <f>INDEX(tbl_Accent_RGBs9224[G],$L117,1)</f>
        <v>146</v>
      </c>
      <c r="P117">
        <f>INDEX(tbl_Accent_RGBs9224[B],$L117,1)</f>
        <v>115</v>
      </c>
      <c r="Q117" s="57">
        <v>0.3</v>
      </c>
      <c r="R117" t="str">
        <f t="shared" si="159"/>
        <v xml:space="preserve">    --b2-30: rgba(245, 146, 115, 0.3);</v>
      </c>
      <c r="S117" t="str">
        <f t="shared" si="160"/>
        <v xml:space="preserve">  .bg-b2-30{background-color: var(--b2-30);}</v>
      </c>
    </row>
    <row r="118" spans="2:19" x14ac:dyDescent="0.45">
      <c r="B118" s="27" t="s">
        <v>30</v>
      </c>
      <c r="C118" s="48">
        <f>ROUND(C116*(1+F118),0)</f>
        <v>123</v>
      </c>
      <c r="D118" s="48">
        <f>ROUND(D116*(1+F118),0)</f>
        <v>104</v>
      </c>
      <c r="E118" s="48">
        <f>ROUND(E116*(1+F118),0)</f>
        <v>58</v>
      </c>
      <c r="F118" s="47">
        <v>-0.5</v>
      </c>
      <c r="H118" s="48" t="str">
        <f t="shared" ref="H118" si="234">LOWER(_xlfn.CONCAT("    --",B112,"-",B118,": rgba(",C118,", ",D118,", ",E118,", ","1.00",");"))</f>
        <v xml:space="preserve">    --b3-darker: rgba(123, 104, 58, 1.00);</v>
      </c>
      <c r="I118" s="48" t="str">
        <f t="shared" ref="I118" si="235">LOWER(_xlfn.CONCAT("  .color-",B112,"-",B118,"{","color: var(--",B112,"-",B118,");","}"))</f>
        <v xml:space="preserve">  .color-b3-darker{color: var(--b3-darker);}</v>
      </c>
      <c r="J118" s="48" t="str">
        <f t="shared" ref="J118" si="236">LOWER(_xlfn.CONCAT("  .bg-",B112,"-",B118,"{","background-color: var(--",B112,"-",B118,");","}"))</f>
        <v xml:space="preserve">  .bg-b3-darker{background-color: var(--b3-darker);}</v>
      </c>
      <c r="L118">
        <f t="shared" si="185"/>
        <v>11</v>
      </c>
      <c r="M118" t="str">
        <f>INDEX(tbl_Accent_RGBs9224[ID],L118,1)</f>
        <v>b2</v>
      </c>
      <c r="N118">
        <f>INDEX(tbl_Accent_RGBs9224[R],$L118,1)</f>
        <v>245</v>
      </c>
      <c r="O118">
        <f>INDEX(tbl_Accent_RGBs9224[G],$L118,1)</f>
        <v>146</v>
      </c>
      <c r="P118">
        <f>INDEX(tbl_Accent_RGBs9224[B],$L118,1)</f>
        <v>115</v>
      </c>
      <c r="Q118" s="57">
        <v>0.4</v>
      </c>
      <c r="R118" t="str">
        <f t="shared" si="159"/>
        <v xml:space="preserve">    --b2-40: rgba(245, 146, 115, 0.4);</v>
      </c>
      <c r="S118" t="str">
        <f t="shared" si="160"/>
        <v xml:space="preserve">  .bg-b2-40{background-color: var(--b2-40);}</v>
      </c>
    </row>
    <row r="119" spans="2:19" x14ac:dyDescent="0.45">
      <c r="B119" s="27" t="s">
        <v>31</v>
      </c>
      <c r="C119" s="48">
        <f>ROUND(C116*(1+F119),0)</f>
        <v>61</v>
      </c>
      <c r="D119" s="48">
        <f>ROUND(D116*(1+F119),0)</f>
        <v>52</v>
      </c>
      <c r="E119" s="48">
        <f>ROUND(E116*(1+F119),0)</f>
        <v>29</v>
      </c>
      <c r="F119" s="47">
        <v>-0.75</v>
      </c>
      <c r="H119" s="48" t="str">
        <f t="shared" ref="H119" si="237">LOWER(_xlfn.CONCAT("    --",B112,"-",B119,": rgba(",C119,", ",D119,", ",E119,", ","1.00",");"))</f>
        <v xml:space="preserve">    --b3-darkest: rgba(61, 52, 29, 1.00);</v>
      </c>
      <c r="I119" s="48" t="str">
        <f t="shared" ref="I119" si="238">LOWER(_xlfn.CONCAT("  .color-",B112,"-",B119,"{","color: var(--",B112,"-",B119,");","}"))</f>
        <v xml:space="preserve">  .color-b3-darkest{color: var(--b3-darkest);}</v>
      </c>
      <c r="J119" s="48" t="str">
        <f t="shared" ref="J119" si="239">LOWER(_xlfn.CONCAT("  .bg-",B112,"-",B119,"{","background-color: var(--",B112,"-",B119,");","}"))</f>
        <v xml:space="preserve">  .bg-b3-darkest{background-color: var(--b3-darkest);}</v>
      </c>
      <c r="L119">
        <f t="shared" si="185"/>
        <v>11</v>
      </c>
      <c r="M119" t="str">
        <f>INDEX(tbl_Accent_RGBs9224[ID],L119,1)</f>
        <v>b2</v>
      </c>
      <c r="N119">
        <f>INDEX(tbl_Accent_RGBs9224[R],$L119,1)</f>
        <v>245</v>
      </c>
      <c r="O119">
        <f>INDEX(tbl_Accent_RGBs9224[G],$L119,1)</f>
        <v>146</v>
      </c>
      <c r="P119">
        <f>INDEX(tbl_Accent_RGBs9224[B],$L119,1)</f>
        <v>115</v>
      </c>
      <c r="Q119" s="57">
        <v>0.5</v>
      </c>
      <c r="R119" t="str">
        <f t="shared" si="159"/>
        <v xml:space="preserve">    --b2-50: rgba(245, 146, 115, 0.5);</v>
      </c>
      <c r="S119" t="str">
        <f t="shared" si="160"/>
        <v xml:space="preserve">  .bg-b2-50{background-color: var(--b2-50);}</v>
      </c>
    </row>
    <row r="120" spans="2:19" x14ac:dyDescent="0.45">
      <c r="B120" s="46" t="s">
        <v>50</v>
      </c>
      <c r="C120" s="49" t="s">
        <v>33</v>
      </c>
      <c r="D120" s="49" t="s">
        <v>34</v>
      </c>
      <c r="E120" s="49" t="s">
        <v>35</v>
      </c>
      <c r="F120" s="49" t="s">
        <v>36</v>
      </c>
      <c r="H120" s="49"/>
      <c r="I120" s="49"/>
      <c r="J120" s="49"/>
      <c r="L120">
        <f t="shared" si="185"/>
        <v>11</v>
      </c>
      <c r="M120" t="str">
        <f>INDEX(tbl_Accent_RGBs9224[ID],L120,1)</f>
        <v>b2</v>
      </c>
      <c r="N120">
        <f>INDEX(tbl_Accent_RGBs9224[R],$L120,1)</f>
        <v>245</v>
      </c>
      <c r="O120">
        <f>INDEX(tbl_Accent_RGBs9224[G],$L120,1)</f>
        <v>146</v>
      </c>
      <c r="P120">
        <f>INDEX(tbl_Accent_RGBs9224[B],$L120,1)</f>
        <v>115</v>
      </c>
      <c r="Q120" s="57">
        <v>0.6</v>
      </c>
      <c r="R120" t="str">
        <f t="shared" si="159"/>
        <v xml:space="preserve">    --b2-60: rgba(245, 146, 115, 0.6);</v>
      </c>
      <c r="S120" t="str">
        <f t="shared" si="160"/>
        <v xml:space="preserve">  .bg-b2-60{background-color: var(--b2-60);}</v>
      </c>
    </row>
    <row r="121" spans="2:19" x14ac:dyDescent="0.45">
      <c r="B121" s="27" t="s">
        <v>25</v>
      </c>
      <c r="C121" s="48">
        <f>ROUND(255-((255-C124)*F121),0)</f>
        <v>253</v>
      </c>
      <c r="D121" s="48">
        <f>ROUND(255-((255-D124)*F121),0)</f>
        <v>251</v>
      </c>
      <c r="E121" s="48">
        <f>ROUND(255-((255-E124)*F121),0)</f>
        <v>220</v>
      </c>
      <c r="F121" s="47">
        <v>0.25</v>
      </c>
      <c r="H121" s="48" t="str">
        <f t="shared" ref="H121" si="240">LOWER(_xlfn.CONCAT("    --",B120,"-",B121,": rgba(",C121,", ",D121,", ",E121,", ","1.00",");"))</f>
        <v xml:space="preserve">    --b4-lightest: rgba(253, 251, 220, 1.00);</v>
      </c>
      <c r="I121" s="48" t="str">
        <f t="shared" ref="I121" si="241">LOWER(_xlfn.CONCAT("  .color-",B120,"-",B121,"{","color: var(--",B120,"-",B121,");","}"))</f>
        <v xml:space="preserve">  .color-b4-lightest{color: var(--b4-lightest);}</v>
      </c>
      <c r="J121" s="48" t="str">
        <f t="shared" ref="J121" si="242">LOWER(_xlfn.CONCAT("  .bg-",B120,"-",B121,"{","background-color: var(--",B120,"-",B121,");","}"))</f>
        <v xml:space="preserve">  .bg-b4-lightest{background-color: var(--b4-lightest);}</v>
      </c>
      <c r="L121">
        <f t="shared" si="185"/>
        <v>11</v>
      </c>
      <c r="M121" t="str">
        <f>INDEX(tbl_Accent_RGBs9224[ID],L121,1)</f>
        <v>b2</v>
      </c>
      <c r="N121">
        <f>INDEX(tbl_Accent_RGBs9224[R],$L121,1)</f>
        <v>245</v>
      </c>
      <c r="O121">
        <f>INDEX(tbl_Accent_RGBs9224[G],$L121,1)</f>
        <v>146</v>
      </c>
      <c r="P121">
        <f>INDEX(tbl_Accent_RGBs9224[B],$L121,1)</f>
        <v>115</v>
      </c>
      <c r="Q121" s="57">
        <v>0.7</v>
      </c>
      <c r="R121" t="str">
        <f t="shared" si="159"/>
        <v xml:space="preserve">    --b2-70: rgba(245, 146, 115, 0.7);</v>
      </c>
      <c r="S121" t="str">
        <f t="shared" si="160"/>
        <v xml:space="preserve">  .bg-b2-70{background-color: var(--b2-70);}</v>
      </c>
    </row>
    <row r="122" spans="2:19" x14ac:dyDescent="0.45">
      <c r="B122" s="27" t="s">
        <v>26</v>
      </c>
      <c r="C122" s="48">
        <f>ROUND(255-((255-C124)*F122),0)</f>
        <v>250</v>
      </c>
      <c r="D122" s="48">
        <f>ROUND(255-((255-D124)*F122),0)</f>
        <v>247</v>
      </c>
      <c r="E122" s="48">
        <f>ROUND(255-((255-E124)*F122),0)</f>
        <v>185</v>
      </c>
      <c r="F122" s="47">
        <v>0.5</v>
      </c>
      <c r="H122" s="48" t="str">
        <f t="shared" ref="H122" si="243">LOWER(_xlfn.CONCAT("    --",B120,"-",B122,": rgba(",C122,", ",D122,", ",E122,", ","1.00",");"))</f>
        <v xml:space="preserve">    --b4-lighter: rgba(250, 247, 185, 1.00);</v>
      </c>
      <c r="I122" s="48" t="str">
        <f t="shared" ref="I122" si="244">LOWER(_xlfn.CONCAT("  .color-",B120,"-",B122,"{","color: var(--",B120,"-",B122,");","}"))</f>
        <v xml:space="preserve">  .color-b4-lighter{color: var(--b4-lighter);}</v>
      </c>
      <c r="J122" s="48" t="str">
        <f t="shared" ref="J122" si="245">LOWER(_xlfn.CONCAT("  .bg-",B120,"-",B122,"{","background-color: var(--",B120,"-",B122,");","}"))</f>
        <v xml:space="preserve">  .bg-b4-lighter{background-color: var(--b4-lighter);}</v>
      </c>
      <c r="L122">
        <f t="shared" si="185"/>
        <v>11</v>
      </c>
      <c r="M122" t="str">
        <f>INDEX(tbl_Accent_RGBs9224[ID],L122,1)</f>
        <v>b2</v>
      </c>
      <c r="N122">
        <f>INDEX(tbl_Accent_RGBs9224[R],$L122,1)</f>
        <v>245</v>
      </c>
      <c r="O122">
        <f>INDEX(tbl_Accent_RGBs9224[G],$L122,1)</f>
        <v>146</v>
      </c>
      <c r="P122">
        <f>INDEX(tbl_Accent_RGBs9224[B],$L122,1)</f>
        <v>115</v>
      </c>
      <c r="Q122" s="57">
        <v>0.8</v>
      </c>
      <c r="R122" t="str">
        <f t="shared" si="159"/>
        <v xml:space="preserve">    --b2-80: rgba(245, 146, 115, 0.8);</v>
      </c>
      <c r="S122" t="str">
        <f t="shared" si="160"/>
        <v xml:space="preserve">  .bg-b2-80{background-color: var(--b2-80);}</v>
      </c>
    </row>
    <row r="123" spans="2:19" x14ac:dyDescent="0.45">
      <c r="B123" s="27" t="s">
        <v>27</v>
      </c>
      <c r="C123" s="48">
        <f>ROUND(255-((255-C124)*F123),0)</f>
        <v>248</v>
      </c>
      <c r="D123" s="48">
        <f>ROUND(255-((255-D124)*F123),0)</f>
        <v>243</v>
      </c>
      <c r="E123" s="48">
        <f>ROUND(255-((255-E124)*F123),0)</f>
        <v>150</v>
      </c>
      <c r="F123" s="47">
        <v>0.75</v>
      </c>
      <c r="H123" s="48" t="str">
        <f t="shared" ref="H123" si="246">LOWER(_xlfn.CONCAT("    --",B120,"-",B123,": rgba(",C123,", ",D123,", ",E123,", ","1.00",");"))</f>
        <v xml:space="preserve">    --b4-light: rgba(248, 243, 150, 1.00);</v>
      </c>
      <c r="I123" s="48" t="str">
        <f t="shared" ref="I123" si="247">LOWER(_xlfn.CONCAT("  .color-",B120,"-",B123,"{","color: var(--",B120,"-",B123,");","}"))</f>
        <v xml:space="preserve">  .color-b4-light{color: var(--b4-light);}</v>
      </c>
      <c r="J123" s="48" t="str">
        <f t="shared" ref="J123" si="248">LOWER(_xlfn.CONCAT("  .bg-",B120,"-",B123,"{","background-color: var(--",B120,"-",B123,");","}"))</f>
        <v xml:space="preserve">  .bg-b4-light{background-color: var(--b4-light);}</v>
      </c>
      <c r="L123">
        <f t="shared" si="185"/>
        <v>11</v>
      </c>
      <c r="M123" t="str">
        <f>INDEX(tbl_Accent_RGBs9224[ID],L123,1)</f>
        <v>b2</v>
      </c>
      <c r="N123">
        <f>INDEX(tbl_Accent_RGBs9224[R],$L123,1)</f>
        <v>245</v>
      </c>
      <c r="O123">
        <f>INDEX(tbl_Accent_RGBs9224[G],$L123,1)</f>
        <v>146</v>
      </c>
      <c r="P123">
        <f>INDEX(tbl_Accent_RGBs9224[B],$L123,1)</f>
        <v>115</v>
      </c>
      <c r="Q123" s="57">
        <v>0.9</v>
      </c>
      <c r="R123" t="str">
        <f t="shared" si="159"/>
        <v xml:space="preserve">    --b2-90: rgba(245, 146, 115, 0.9);</v>
      </c>
      <c r="S123" t="str">
        <f t="shared" si="160"/>
        <v xml:space="preserve">  .bg-b2-90{background-color: var(--b2-90);}</v>
      </c>
    </row>
    <row r="124" spans="2:19" x14ac:dyDescent="0.45">
      <c r="B124" s="27" t="s">
        <v>28</v>
      </c>
      <c r="C124" s="50">
        <f>VLOOKUP(B120,$B$3:$E$21,2,FALSE)</f>
        <v>245</v>
      </c>
      <c r="D124" s="50">
        <f>VLOOKUP(B120,$B$3:$E$21,3,FALSE)</f>
        <v>239</v>
      </c>
      <c r="E124" s="50">
        <f>VLOOKUP(B120,$B$3:$E$21,4,FALSE)</f>
        <v>115</v>
      </c>
      <c r="F124" s="47">
        <v>0</v>
      </c>
      <c r="H124" s="48" t="str">
        <f t="shared" ref="H124" si="249">LOWER(_xlfn.CONCAT("    --",B120,"-",B124,": rgba(",C124,", ",D124,", ",E124,", ","1.00",");"))</f>
        <v xml:space="preserve">    --b4-normal: rgba(245, 239, 115, 1.00);</v>
      </c>
      <c r="I124" s="48" t="str">
        <f t="shared" ref="I124" si="250">LOWER(_xlfn.CONCAT("  .color-",B120,"-",B124,"{","color: var(--",B120,"-",B124,");","}"))</f>
        <v xml:space="preserve">  .color-b4-normal{color: var(--b4-normal);}</v>
      </c>
      <c r="J124" s="48" t="str">
        <f t="shared" ref="J124" si="251">LOWER(_xlfn.CONCAT("  .bg-",B120,"-",B124,"{","background-color: var(--",B120,"-",B124,");","}"))</f>
        <v xml:space="preserve">  .bg-b4-normal{background-color: var(--b4-normal);}</v>
      </c>
      <c r="L124">
        <f t="shared" si="185"/>
        <v>12</v>
      </c>
      <c r="M124" t="str">
        <f>INDEX(tbl_Accent_RGBs9224[ID],L124,1)</f>
        <v>b3</v>
      </c>
      <c r="N124">
        <f>INDEX(tbl_Accent_RGBs9224[R],$L124,1)</f>
        <v>245</v>
      </c>
      <c r="O124">
        <f>INDEX(tbl_Accent_RGBs9224[G],$L124,1)</f>
        <v>208</v>
      </c>
      <c r="P124">
        <f>INDEX(tbl_Accent_RGBs9224[B],$L124,1)</f>
        <v>115</v>
      </c>
      <c r="Q124" s="57">
        <v>0.1</v>
      </c>
      <c r="R124" t="str">
        <f t="shared" si="159"/>
        <v xml:space="preserve">    --b3-10: rgba(245, 208, 115, 0.1);</v>
      </c>
      <c r="S124" t="str">
        <f t="shared" si="160"/>
        <v xml:space="preserve">  .bg-b3-10{background-color: var(--b3-10);}</v>
      </c>
    </row>
    <row r="125" spans="2:19" x14ac:dyDescent="0.45">
      <c r="B125" s="27" t="s">
        <v>29</v>
      </c>
      <c r="C125" s="48">
        <f>ROUND(C124*(1+F125),0)</f>
        <v>184</v>
      </c>
      <c r="D125" s="48">
        <f>ROUND(D124*(1+F125),0)</f>
        <v>179</v>
      </c>
      <c r="E125" s="48">
        <f>ROUND(E124*(1+F125),0)</f>
        <v>86</v>
      </c>
      <c r="F125" s="47">
        <v>-0.25</v>
      </c>
      <c r="H125" s="48" t="str">
        <f t="shared" ref="H125" si="252">LOWER(_xlfn.CONCAT("    --",B120,"-",B125,": rgba(",C125,", ",D125,", ",E125,", ","1.00",");"))</f>
        <v xml:space="preserve">    --b4-dark: rgba(184, 179, 86, 1.00);</v>
      </c>
      <c r="I125" s="48" t="str">
        <f t="shared" ref="I125" si="253">LOWER(_xlfn.CONCAT("  .color-",B120,"-",B125,"{","color: var(--",B120,"-",B125,");","}"))</f>
        <v xml:space="preserve">  .color-b4-dark{color: var(--b4-dark);}</v>
      </c>
      <c r="J125" s="48" t="str">
        <f t="shared" ref="J125" si="254">LOWER(_xlfn.CONCAT("  .bg-",B120,"-",B125,"{","background-color: var(--",B120,"-",B125,");","}"))</f>
        <v xml:space="preserve">  .bg-b4-dark{background-color: var(--b4-dark);}</v>
      </c>
      <c r="L125">
        <f t="shared" si="185"/>
        <v>12</v>
      </c>
      <c r="M125" t="str">
        <f>INDEX(tbl_Accent_RGBs9224[ID],L125,1)</f>
        <v>b3</v>
      </c>
      <c r="N125">
        <f>INDEX(tbl_Accent_RGBs9224[R],$L125,1)</f>
        <v>245</v>
      </c>
      <c r="O125">
        <f>INDEX(tbl_Accent_RGBs9224[G],$L125,1)</f>
        <v>208</v>
      </c>
      <c r="P125">
        <f>INDEX(tbl_Accent_RGBs9224[B],$L125,1)</f>
        <v>115</v>
      </c>
      <c r="Q125" s="57">
        <v>0.2</v>
      </c>
      <c r="R125" t="str">
        <f t="shared" si="159"/>
        <v xml:space="preserve">    --b3-20: rgba(245, 208, 115, 0.2);</v>
      </c>
      <c r="S125" t="str">
        <f t="shared" si="160"/>
        <v xml:space="preserve">  .bg-b3-20{background-color: var(--b3-20);}</v>
      </c>
    </row>
    <row r="126" spans="2:19" x14ac:dyDescent="0.45">
      <c r="B126" s="27" t="s">
        <v>30</v>
      </c>
      <c r="C126" s="48">
        <f>ROUND(C124*(1+F126),0)</f>
        <v>123</v>
      </c>
      <c r="D126" s="48">
        <f>ROUND(D124*(1+F126),0)</f>
        <v>120</v>
      </c>
      <c r="E126" s="48">
        <f>ROUND(E124*(1+F126),0)</f>
        <v>58</v>
      </c>
      <c r="F126" s="47">
        <v>-0.5</v>
      </c>
      <c r="H126" s="48" t="str">
        <f t="shared" ref="H126" si="255">LOWER(_xlfn.CONCAT("    --",B120,"-",B126,": rgba(",C126,", ",D126,", ",E126,", ","1.00",");"))</f>
        <v xml:space="preserve">    --b4-darker: rgba(123, 120, 58, 1.00);</v>
      </c>
      <c r="I126" s="48" t="str">
        <f t="shared" ref="I126" si="256">LOWER(_xlfn.CONCAT("  .color-",B120,"-",B126,"{","color: var(--",B120,"-",B126,");","}"))</f>
        <v xml:space="preserve">  .color-b4-darker{color: var(--b4-darker);}</v>
      </c>
      <c r="J126" s="48" t="str">
        <f t="shared" ref="J126" si="257">LOWER(_xlfn.CONCAT("  .bg-",B120,"-",B126,"{","background-color: var(--",B120,"-",B126,");","}"))</f>
        <v xml:space="preserve">  .bg-b4-darker{background-color: var(--b4-darker);}</v>
      </c>
      <c r="L126">
        <f t="shared" si="185"/>
        <v>12</v>
      </c>
      <c r="M126" t="str">
        <f>INDEX(tbl_Accent_RGBs9224[ID],L126,1)</f>
        <v>b3</v>
      </c>
      <c r="N126">
        <f>INDEX(tbl_Accent_RGBs9224[R],$L126,1)</f>
        <v>245</v>
      </c>
      <c r="O126">
        <f>INDEX(tbl_Accent_RGBs9224[G],$L126,1)</f>
        <v>208</v>
      </c>
      <c r="P126">
        <f>INDEX(tbl_Accent_RGBs9224[B],$L126,1)</f>
        <v>115</v>
      </c>
      <c r="Q126" s="57">
        <v>0.3</v>
      </c>
      <c r="R126" t="str">
        <f t="shared" si="159"/>
        <v xml:space="preserve">    --b3-30: rgba(245, 208, 115, 0.3);</v>
      </c>
      <c r="S126" t="str">
        <f t="shared" si="160"/>
        <v xml:space="preserve">  .bg-b3-30{background-color: var(--b3-30);}</v>
      </c>
    </row>
    <row r="127" spans="2:19" x14ac:dyDescent="0.45">
      <c r="B127" s="27" t="s">
        <v>31</v>
      </c>
      <c r="C127" s="48">
        <f>ROUND(C124*(1+F127),0)</f>
        <v>61</v>
      </c>
      <c r="D127" s="48">
        <f>ROUND(D124*(1+F127),0)</f>
        <v>60</v>
      </c>
      <c r="E127" s="48">
        <f>ROUND(E124*(1+F127),0)</f>
        <v>29</v>
      </c>
      <c r="F127" s="47">
        <v>-0.75</v>
      </c>
      <c r="H127" s="48" t="str">
        <f t="shared" ref="H127" si="258">LOWER(_xlfn.CONCAT("    --",B120,"-",B127,": rgba(",C127,", ",D127,", ",E127,", ","1.00",");"))</f>
        <v xml:space="preserve">    --b4-darkest: rgba(61, 60, 29, 1.00);</v>
      </c>
      <c r="I127" s="48" t="str">
        <f t="shared" ref="I127" si="259">LOWER(_xlfn.CONCAT("  .color-",B120,"-",B127,"{","color: var(--",B120,"-",B127,");","}"))</f>
        <v xml:space="preserve">  .color-b4-darkest{color: var(--b4-darkest);}</v>
      </c>
      <c r="J127" s="48" t="str">
        <f t="shared" ref="J127" si="260">LOWER(_xlfn.CONCAT("  .bg-",B120,"-",B127,"{","background-color: var(--",B120,"-",B127,");","}"))</f>
        <v xml:space="preserve">  .bg-b4-darkest{background-color: var(--b4-darkest);}</v>
      </c>
      <c r="L127">
        <f t="shared" si="185"/>
        <v>12</v>
      </c>
      <c r="M127" t="str">
        <f>INDEX(tbl_Accent_RGBs9224[ID],L127,1)</f>
        <v>b3</v>
      </c>
      <c r="N127">
        <f>INDEX(tbl_Accent_RGBs9224[R],$L127,1)</f>
        <v>245</v>
      </c>
      <c r="O127">
        <f>INDEX(tbl_Accent_RGBs9224[G],$L127,1)</f>
        <v>208</v>
      </c>
      <c r="P127">
        <f>INDEX(tbl_Accent_RGBs9224[B],$L127,1)</f>
        <v>115</v>
      </c>
      <c r="Q127" s="57">
        <v>0.4</v>
      </c>
      <c r="R127" t="str">
        <f t="shared" si="159"/>
        <v xml:space="preserve">    --b3-40: rgba(245, 208, 115, 0.4);</v>
      </c>
      <c r="S127" t="str">
        <f t="shared" si="160"/>
        <v xml:space="preserve">  .bg-b3-40{background-color: var(--b3-40);}</v>
      </c>
    </row>
    <row r="128" spans="2:19" x14ac:dyDescent="0.45">
      <c r="B128" s="46" t="s">
        <v>51</v>
      </c>
      <c r="C128" s="49" t="s">
        <v>33</v>
      </c>
      <c r="D128" s="49" t="s">
        <v>34</v>
      </c>
      <c r="E128" s="49" t="s">
        <v>35</v>
      </c>
      <c r="F128" s="49" t="s">
        <v>36</v>
      </c>
      <c r="H128" s="49"/>
      <c r="I128" s="49"/>
      <c r="J128" s="49"/>
      <c r="L128">
        <f t="shared" si="185"/>
        <v>12</v>
      </c>
      <c r="M128" t="str">
        <f>INDEX(tbl_Accent_RGBs9224[ID],L128,1)</f>
        <v>b3</v>
      </c>
      <c r="N128">
        <f>INDEX(tbl_Accent_RGBs9224[R],$L128,1)</f>
        <v>245</v>
      </c>
      <c r="O128">
        <f>INDEX(tbl_Accent_RGBs9224[G],$L128,1)</f>
        <v>208</v>
      </c>
      <c r="P128">
        <f>INDEX(tbl_Accent_RGBs9224[B],$L128,1)</f>
        <v>115</v>
      </c>
      <c r="Q128" s="57">
        <v>0.5</v>
      </c>
      <c r="R128" t="str">
        <f t="shared" si="159"/>
        <v xml:space="preserve">    --b3-50: rgba(245, 208, 115, 0.5);</v>
      </c>
      <c r="S128" t="str">
        <f t="shared" si="160"/>
        <v xml:space="preserve">  .bg-b3-50{background-color: var(--b3-50);}</v>
      </c>
    </row>
    <row r="129" spans="2:19" x14ac:dyDescent="0.45">
      <c r="B129" s="27" t="s">
        <v>25</v>
      </c>
      <c r="C129" s="48">
        <f>ROUND(255-((255-C132)*F129),0)</f>
        <v>232</v>
      </c>
      <c r="D129" s="48">
        <f>ROUND(255-((255-D132)*F129),0)</f>
        <v>253</v>
      </c>
      <c r="E129" s="48">
        <f>ROUND(255-((255-E132)*F129),0)</f>
        <v>220</v>
      </c>
      <c r="F129" s="47">
        <v>0.25</v>
      </c>
      <c r="H129" s="48" t="str">
        <f t="shared" ref="H129" si="261">LOWER(_xlfn.CONCAT("    --",B128,"-",B129,": rgba(",C129,", ",D129,", ",E129,", ","1.00",");"))</f>
        <v xml:space="preserve">    --b5-lightest: rgba(232, 253, 220, 1.00);</v>
      </c>
      <c r="I129" s="48" t="str">
        <f t="shared" ref="I129" si="262">LOWER(_xlfn.CONCAT("  .color-",B128,"-",B129,"{","color: var(--",B128,"-",B129,");","}"))</f>
        <v xml:space="preserve">  .color-b5-lightest{color: var(--b5-lightest);}</v>
      </c>
      <c r="J129" s="48" t="str">
        <f t="shared" ref="J129" si="263">LOWER(_xlfn.CONCAT("  .bg-",B128,"-",B129,"{","background-color: var(--",B128,"-",B129,");","}"))</f>
        <v xml:space="preserve">  .bg-b5-lightest{background-color: var(--b5-lightest);}</v>
      </c>
      <c r="L129">
        <f t="shared" si="185"/>
        <v>12</v>
      </c>
      <c r="M129" t="str">
        <f>INDEX(tbl_Accent_RGBs9224[ID],L129,1)</f>
        <v>b3</v>
      </c>
      <c r="N129">
        <f>INDEX(tbl_Accent_RGBs9224[R],$L129,1)</f>
        <v>245</v>
      </c>
      <c r="O129">
        <f>INDEX(tbl_Accent_RGBs9224[G],$L129,1)</f>
        <v>208</v>
      </c>
      <c r="P129">
        <f>INDEX(tbl_Accent_RGBs9224[B],$L129,1)</f>
        <v>115</v>
      </c>
      <c r="Q129" s="57">
        <v>0.6</v>
      </c>
      <c r="R129" t="str">
        <f t="shared" si="159"/>
        <v xml:space="preserve">    --b3-60: rgba(245, 208, 115, 0.6);</v>
      </c>
      <c r="S129" t="str">
        <f t="shared" si="160"/>
        <v xml:space="preserve">  .bg-b3-60{background-color: var(--b3-60);}</v>
      </c>
    </row>
    <row r="130" spans="2:19" x14ac:dyDescent="0.45">
      <c r="B130" s="27" t="s">
        <v>26</v>
      </c>
      <c r="C130" s="48">
        <f>ROUND(255-((255-C132)*F130),0)</f>
        <v>208</v>
      </c>
      <c r="D130" s="48">
        <f>ROUND(255-((255-D132)*F130),0)</f>
        <v>250</v>
      </c>
      <c r="E130" s="48">
        <f>ROUND(255-((255-E132)*F130),0)</f>
        <v>185</v>
      </c>
      <c r="F130" s="47">
        <v>0.5</v>
      </c>
      <c r="H130" s="48" t="str">
        <f t="shared" ref="H130" si="264">LOWER(_xlfn.CONCAT("    --",B128,"-",B130,": rgba(",C130,", ",D130,", ",E130,", ","1.00",");"))</f>
        <v xml:space="preserve">    --b5-lighter: rgba(208, 250, 185, 1.00);</v>
      </c>
      <c r="I130" s="48" t="str">
        <f t="shared" ref="I130" si="265">LOWER(_xlfn.CONCAT("  .color-",B128,"-",B130,"{","color: var(--",B128,"-",B130,");","}"))</f>
        <v xml:space="preserve">  .color-b5-lighter{color: var(--b5-lighter);}</v>
      </c>
      <c r="J130" s="48" t="str">
        <f t="shared" ref="J130" si="266">LOWER(_xlfn.CONCAT("  .bg-",B128,"-",B130,"{","background-color: var(--",B128,"-",B130,");","}"))</f>
        <v xml:space="preserve">  .bg-b5-lighter{background-color: var(--b5-lighter);}</v>
      </c>
      <c r="L130">
        <f t="shared" si="185"/>
        <v>12</v>
      </c>
      <c r="M130" t="str">
        <f>INDEX(tbl_Accent_RGBs9224[ID],L130,1)</f>
        <v>b3</v>
      </c>
      <c r="N130">
        <f>INDEX(tbl_Accent_RGBs9224[R],$L130,1)</f>
        <v>245</v>
      </c>
      <c r="O130">
        <f>INDEX(tbl_Accent_RGBs9224[G],$L130,1)</f>
        <v>208</v>
      </c>
      <c r="P130">
        <f>INDEX(tbl_Accent_RGBs9224[B],$L130,1)</f>
        <v>115</v>
      </c>
      <c r="Q130" s="57">
        <v>0.7</v>
      </c>
      <c r="R130" t="str">
        <f t="shared" si="159"/>
        <v xml:space="preserve">    --b3-70: rgba(245, 208, 115, 0.7);</v>
      </c>
      <c r="S130" t="str">
        <f t="shared" si="160"/>
        <v xml:space="preserve">  .bg-b3-70{background-color: var(--b3-70);}</v>
      </c>
    </row>
    <row r="131" spans="2:19" x14ac:dyDescent="0.45">
      <c r="B131" s="27" t="s">
        <v>27</v>
      </c>
      <c r="C131" s="48">
        <f>ROUND(255-((255-C132)*F131),0)</f>
        <v>185</v>
      </c>
      <c r="D131" s="48">
        <f>ROUND(255-((255-D132)*F131),0)</f>
        <v>248</v>
      </c>
      <c r="E131" s="48">
        <f>ROUND(255-((255-E132)*F131),0)</f>
        <v>150</v>
      </c>
      <c r="F131" s="47">
        <v>0.75</v>
      </c>
      <c r="H131" s="48" t="str">
        <f t="shared" ref="H131" si="267">LOWER(_xlfn.CONCAT("    --",B128,"-",B131,": rgba(",C131,", ",D131,", ",E131,", ","1.00",");"))</f>
        <v xml:space="preserve">    --b5-light: rgba(185, 248, 150, 1.00);</v>
      </c>
      <c r="I131" s="48" t="str">
        <f t="shared" ref="I131" si="268">LOWER(_xlfn.CONCAT("  .color-",B128,"-",B131,"{","color: var(--",B128,"-",B131,");","}"))</f>
        <v xml:space="preserve">  .color-b5-light{color: var(--b5-light);}</v>
      </c>
      <c r="J131" s="48" t="str">
        <f t="shared" ref="J131" si="269">LOWER(_xlfn.CONCAT("  .bg-",B128,"-",B131,"{","background-color: var(--",B128,"-",B131,");","}"))</f>
        <v xml:space="preserve">  .bg-b5-light{background-color: var(--b5-light);}</v>
      </c>
      <c r="L131">
        <f t="shared" si="185"/>
        <v>12</v>
      </c>
      <c r="M131" t="str">
        <f>INDEX(tbl_Accent_RGBs9224[ID],L131,1)</f>
        <v>b3</v>
      </c>
      <c r="N131">
        <f>INDEX(tbl_Accent_RGBs9224[R],$L131,1)</f>
        <v>245</v>
      </c>
      <c r="O131">
        <f>INDEX(tbl_Accent_RGBs9224[G],$L131,1)</f>
        <v>208</v>
      </c>
      <c r="P131">
        <f>INDEX(tbl_Accent_RGBs9224[B],$L131,1)</f>
        <v>115</v>
      </c>
      <c r="Q131" s="57">
        <v>0.8</v>
      </c>
      <c r="R131" t="str">
        <f t="shared" si="159"/>
        <v xml:space="preserve">    --b3-80: rgba(245, 208, 115, 0.8);</v>
      </c>
      <c r="S131" t="str">
        <f t="shared" si="160"/>
        <v xml:space="preserve">  .bg-b3-80{background-color: var(--b3-80);}</v>
      </c>
    </row>
    <row r="132" spans="2:19" x14ac:dyDescent="0.45">
      <c r="B132" s="27" t="s">
        <v>28</v>
      </c>
      <c r="C132" s="50">
        <f>VLOOKUP(B128,$B$3:$E$21,2,FALSE)</f>
        <v>161</v>
      </c>
      <c r="D132" s="50">
        <f>VLOOKUP(B128,$B$3:$E$21,3,FALSE)</f>
        <v>245</v>
      </c>
      <c r="E132" s="50">
        <f>VLOOKUP(B128,$B$3:$E$21,4,FALSE)</f>
        <v>115</v>
      </c>
      <c r="F132" s="47">
        <v>0</v>
      </c>
      <c r="H132" s="48" t="str">
        <f t="shared" ref="H132" si="270">LOWER(_xlfn.CONCAT("    --",B128,"-",B132,": rgba(",C132,", ",D132,", ",E132,", ","1.00",");"))</f>
        <v xml:space="preserve">    --b5-normal: rgba(161, 245, 115, 1.00);</v>
      </c>
      <c r="I132" s="48" t="str">
        <f t="shared" ref="I132" si="271">LOWER(_xlfn.CONCAT("  .color-",B128,"-",B132,"{","color: var(--",B128,"-",B132,");","}"))</f>
        <v xml:space="preserve">  .color-b5-normal{color: var(--b5-normal);}</v>
      </c>
      <c r="J132" s="48" t="str">
        <f t="shared" ref="J132" si="272">LOWER(_xlfn.CONCAT("  .bg-",B128,"-",B132,"{","background-color: var(--",B128,"-",B132,");","}"))</f>
        <v xml:space="preserve">  .bg-b5-normal{background-color: var(--b5-normal);}</v>
      </c>
      <c r="L132">
        <f t="shared" si="185"/>
        <v>12</v>
      </c>
      <c r="M132" t="str">
        <f>INDEX(tbl_Accent_RGBs9224[ID],L132,1)</f>
        <v>b3</v>
      </c>
      <c r="N132">
        <f>INDEX(tbl_Accent_RGBs9224[R],$L132,1)</f>
        <v>245</v>
      </c>
      <c r="O132">
        <f>INDEX(tbl_Accent_RGBs9224[G],$L132,1)</f>
        <v>208</v>
      </c>
      <c r="P132">
        <f>INDEX(tbl_Accent_RGBs9224[B],$L132,1)</f>
        <v>115</v>
      </c>
      <c r="Q132" s="57">
        <v>0.9</v>
      </c>
      <c r="R132" t="str">
        <f t="shared" si="159"/>
        <v xml:space="preserve">    --b3-90: rgba(245, 208, 115, 0.9);</v>
      </c>
      <c r="S132" t="str">
        <f t="shared" si="160"/>
        <v xml:space="preserve">  .bg-b3-90{background-color: var(--b3-90);}</v>
      </c>
    </row>
    <row r="133" spans="2:19" x14ac:dyDescent="0.45">
      <c r="B133" s="27" t="s">
        <v>29</v>
      </c>
      <c r="C133" s="48">
        <f>ROUND(C132*(1+F133),0)</f>
        <v>121</v>
      </c>
      <c r="D133" s="48">
        <f>ROUND(D132*(1+F133),0)</f>
        <v>184</v>
      </c>
      <c r="E133" s="48">
        <f>ROUND(E132*(1+F133),0)</f>
        <v>86</v>
      </c>
      <c r="F133" s="47">
        <v>-0.25</v>
      </c>
      <c r="H133" s="48" t="str">
        <f t="shared" ref="H133" si="273">LOWER(_xlfn.CONCAT("    --",B128,"-",B133,": rgba(",C133,", ",D133,", ",E133,", ","1.00",");"))</f>
        <v xml:space="preserve">    --b5-dark: rgba(121, 184, 86, 1.00);</v>
      </c>
      <c r="I133" s="48" t="str">
        <f t="shared" ref="I133" si="274">LOWER(_xlfn.CONCAT("  .color-",B128,"-",B133,"{","color: var(--",B128,"-",B133,");","}"))</f>
        <v xml:space="preserve">  .color-b5-dark{color: var(--b5-dark);}</v>
      </c>
      <c r="J133" s="48" t="str">
        <f t="shared" ref="J133" si="275">LOWER(_xlfn.CONCAT("  .bg-",B128,"-",B133,"{","background-color: var(--",B128,"-",B133,");","}"))</f>
        <v xml:space="preserve">  .bg-b5-dark{background-color: var(--b5-dark);}</v>
      </c>
      <c r="L133">
        <f t="shared" si="185"/>
        <v>13</v>
      </c>
      <c r="M133" t="str">
        <f>INDEX(tbl_Accent_RGBs9224[ID],L133,1)</f>
        <v>b4</v>
      </c>
      <c r="N133">
        <f>INDEX(tbl_Accent_RGBs9224[R],$L133,1)</f>
        <v>245</v>
      </c>
      <c r="O133">
        <f>INDEX(tbl_Accent_RGBs9224[G],$L133,1)</f>
        <v>239</v>
      </c>
      <c r="P133">
        <f>INDEX(tbl_Accent_RGBs9224[B],$L133,1)</f>
        <v>115</v>
      </c>
      <c r="Q133" s="57">
        <v>0.1</v>
      </c>
      <c r="R133" t="str">
        <f t="shared" si="159"/>
        <v xml:space="preserve">    --b4-10: rgba(245, 239, 115, 0.1);</v>
      </c>
      <c r="S133" t="str">
        <f t="shared" si="160"/>
        <v xml:space="preserve">  .bg-b4-10{background-color: var(--b4-10);}</v>
      </c>
    </row>
    <row r="134" spans="2:19" x14ac:dyDescent="0.45">
      <c r="B134" s="27" t="s">
        <v>30</v>
      </c>
      <c r="C134" s="48">
        <f>ROUND(C132*(1+F134),0)</f>
        <v>81</v>
      </c>
      <c r="D134" s="48">
        <f>ROUND(D132*(1+F134),0)</f>
        <v>123</v>
      </c>
      <c r="E134" s="48">
        <f>ROUND(E132*(1+F134),0)</f>
        <v>58</v>
      </c>
      <c r="F134" s="47">
        <v>-0.5</v>
      </c>
      <c r="H134" s="48" t="str">
        <f t="shared" ref="H134" si="276">LOWER(_xlfn.CONCAT("    --",B128,"-",B134,": rgba(",C134,", ",D134,", ",E134,", ","1.00",");"))</f>
        <v xml:space="preserve">    --b5-darker: rgba(81, 123, 58, 1.00);</v>
      </c>
      <c r="I134" s="48" t="str">
        <f t="shared" ref="I134" si="277">LOWER(_xlfn.CONCAT("  .color-",B128,"-",B134,"{","color: var(--",B128,"-",B134,");","}"))</f>
        <v xml:space="preserve">  .color-b5-darker{color: var(--b5-darker);}</v>
      </c>
      <c r="J134" s="48" t="str">
        <f t="shared" ref="J134" si="278">LOWER(_xlfn.CONCAT("  .bg-",B128,"-",B134,"{","background-color: var(--",B128,"-",B134,");","}"))</f>
        <v xml:space="preserve">  .bg-b5-darker{background-color: var(--b5-darker);}</v>
      </c>
      <c r="L134">
        <f t="shared" si="185"/>
        <v>13</v>
      </c>
      <c r="M134" t="str">
        <f>INDEX(tbl_Accent_RGBs9224[ID],L134,1)</f>
        <v>b4</v>
      </c>
      <c r="N134">
        <f>INDEX(tbl_Accent_RGBs9224[R],$L134,1)</f>
        <v>245</v>
      </c>
      <c r="O134">
        <f>INDEX(tbl_Accent_RGBs9224[G],$L134,1)</f>
        <v>239</v>
      </c>
      <c r="P134">
        <f>INDEX(tbl_Accent_RGBs9224[B],$L134,1)</f>
        <v>115</v>
      </c>
      <c r="Q134" s="57">
        <v>0.2</v>
      </c>
      <c r="R134" t="str">
        <f t="shared" si="159"/>
        <v xml:space="preserve">    --b4-20: rgba(245, 239, 115, 0.2);</v>
      </c>
      <c r="S134" t="str">
        <f t="shared" si="160"/>
        <v xml:space="preserve">  .bg-b4-20{background-color: var(--b4-20);}</v>
      </c>
    </row>
    <row r="135" spans="2:19" x14ac:dyDescent="0.45">
      <c r="B135" s="27" t="s">
        <v>31</v>
      </c>
      <c r="C135" s="48">
        <f>ROUND(C132*(1+F135),0)</f>
        <v>40</v>
      </c>
      <c r="D135" s="48">
        <f>ROUND(D132*(1+F135),0)</f>
        <v>61</v>
      </c>
      <c r="E135" s="48">
        <f>ROUND(E132*(1+F135),0)</f>
        <v>29</v>
      </c>
      <c r="F135" s="47">
        <v>-0.75</v>
      </c>
      <c r="H135" s="48" t="str">
        <f t="shared" ref="H135" si="279">LOWER(_xlfn.CONCAT("    --",B128,"-",B135,": rgba(",C135,", ",D135,", ",E135,", ","1.00",");"))</f>
        <v xml:space="preserve">    --b5-darkest: rgba(40, 61, 29, 1.00);</v>
      </c>
      <c r="I135" s="48" t="str">
        <f t="shared" ref="I135" si="280">LOWER(_xlfn.CONCAT("  .color-",B128,"-",B135,"{","color: var(--",B128,"-",B135,");","}"))</f>
        <v xml:space="preserve">  .color-b5-darkest{color: var(--b5-darkest);}</v>
      </c>
      <c r="J135" s="48" t="str">
        <f t="shared" ref="J135" si="281">LOWER(_xlfn.CONCAT("  .bg-",B128,"-",B135,"{","background-color: var(--",B128,"-",B135,");","}"))</f>
        <v xml:space="preserve">  .bg-b5-darkest{background-color: var(--b5-darkest);}</v>
      </c>
      <c r="L135">
        <f t="shared" si="185"/>
        <v>13</v>
      </c>
      <c r="M135" t="str">
        <f>INDEX(tbl_Accent_RGBs9224[ID],L135,1)</f>
        <v>b4</v>
      </c>
      <c r="N135">
        <f>INDEX(tbl_Accent_RGBs9224[R],$L135,1)</f>
        <v>245</v>
      </c>
      <c r="O135">
        <f>INDEX(tbl_Accent_RGBs9224[G],$L135,1)</f>
        <v>239</v>
      </c>
      <c r="P135">
        <f>INDEX(tbl_Accent_RGBs9224[B],$L135,1)</f>
        <v>115</v>
      </c>
      <c r="Q135" s="57">
        <v>0.3</v>
      </c>
      <c r="R135" t="str">
        <f t="shared" si="159"/>
        <v xml:space="preserve">    --b4-30: rgba(245, 239, 115, 0.3);</v>
      </c>
      <c r="S135" t="str">
        <f t="shared" si="160"/>
        <v xml:space="preserve">  .bg-b4-30{background-color: var(--b4-30);}</v>
      </c>
    </row>
    <row r="136" spans="2:19" x14ac:dyDescent="0.45">
      <c r="B136" s="46" t="s">
        <v>52</v>
      </c>
      <c r="C136" s="49" t="s">
        <v>33</v>
      </c>
      <c r="D136" s="49" t="s">
        <v>34</v>
      </c>
      <c r="E136" s="49" t="s">
        <v>35</v>
      </c>
      <c r="F136" s="49" t="s">
        <v>36</v>
      </c>
      <c r="H136" s="49"/>
      <c r="I136" s="49"/>
      <c r="J136" s="49"/>
      <c r="L136">
        <f t="shared" si="185"/>
        <v>13</v>
      </c>
      <c r="M136" t="str">
        <f>INDEX(tbl_Accent_RGBs9224[ID],L136,1)</f>
        <v>b4</v>
      </c>
      <c r="N136">
        <f>INDEX(tbl_Accent_RGBs9224[R],$L136,1)</f>
        <v>245</v>
      </c>
      <c r="O136">
        <f>INDEX(tbl_Accent_RGBs9224[G],$L136,1)</f>
        <v>239</v>
      </c>
      <c r="P136">
        <f>INDEX(tbl_Accent_RGBs9224[B],$L136,1)</f>
        <v>115</v>
      </c>
      <c r="Q136" s="57">
        <v>0.4</v>
      </c>
      <c r="R136" t="str">
        <f t="shared" si="159"/>
        <v xml:space="preserve">    --b4-40: rgba(245, 239, 115, 0.4);</v>
      </c>
      <c r="S136" t="str">
        <f t="shared" si="160"/>
        <v xml:space="preserve">  .bg-b4-40{background-color: var(--b4-40);}</v>
      </c>
    </row>
    <row r="137" spans="2:19" x14ac:dyDescent="0.45">
      <c r="B137" s="27" t="s">
        <v>25</v>
      </c>
      <c r="C137" s="48">
        <f>ROUND(255-((255-C140)*F137),0)</f>
        <v>220</v>
      </c>
      <c r="D137" s="48">
        <f>ROUND(255-((255-D140)*F137),0)</f>
        <v>246</v>
      </c>
      <c r="E137" s="48">
        <f>ROUND(255-((255-E140)*F137),0)</f>
        <v>253</v>
      </c>
      <c r="F137" s="47">
        <v>0.25</v>
      </c>
      <c r="H137" s="48" t="str">
        <f t="shared" ref="H137" si="282">LOWER(_xlfn.CONCAT("    --",B136,"-",B137,": rgba(",C137,", ",D137,", ",E137,", ","1.00",");"))</f>
        <v xml:space="preserve">    --b6-lightest: rgba(220, 246, 253, 1.00);</v>
      </c>
      <c r="I137" s="48" t="str">
        <f t="shared" ref="I137" si="283">LOWER(_xlfn.CONCAT("  .color-",B136,"-",B137,"{","color: var(--",B136,"-",B137,");","}"))</f>
        <v xml:space="preserve">  .color-b6-lightest{color: var(--b6-lightest);}</v>
      </c>
      <c r="J137" s="48" t="str">
        <f t="shared" ref="J137" si="284">LOWER(_xlfn.CONCAT("  .bg-",B136,"-",B137,"{","background-color: var(--",B136,"-",B137,");","}"))</f>
        <v xml:space="preserve">  .bg-b6-lightest{background-color: var(--b6-lightest);}</v>
      </c>
      <c r="L137">
        <f t="shared" si="185"/>
        <v>13</v>
      </c>
      <c r="M137" t="str">
        <f>INDEX(tbl_Accent_RGBs9224[ID],L137,1)</f>
        <v>b4</v>
      </c>
      <c r="N137">
        <f>INDEX(tbl_Accent_RGBs9224[R],$L137,1)</f>
        <v>245</v>
      </c>
      <c r="O137">
        <f>INDEX(tbl_Accent_RGBs9224[G],$L137,1)</f>
        <v>239</v>
      </c>
      <c r="P137">
        <f>INDEX(tbl_Accent_RGBs9224[B],$L137,1)</f>
        <v>115</v>
      </c>
      <c r="Q137" s="57">
        <v>0.5</v>
      </c>
      <c r="R137" t="str">
        <f t="shared" si="159"/>
        <v xml:space="preserve">    --b4-50: rgba(245, 239, 115, 0.5);</v>
      </c>
      <c r="S137" t="str">
        <f t="shared" si="160"/>
        <v xml:space="preserve">  .bg-b4-50{background-color: var(--b4-50);}</v>
      </c>
    </row>
    <row r="138" spans="2:19" x14ac:dyDescent="0.45">
      <c r="B138" s="27" t="s">
        <v>26</v>
      </c>
      <c r="C138" s="48">
        <f>ROUND(255-((255-C140)*F138),0)</f>
        <v>185</v>
      </c>
      <c r="D138" s="48">
        <f>ROUND(255-((255-D140)*F138),0)</f>
        <v>236</v>
      </c>
      <c r="E138" s="48">
        <f>ROUND(255-((255-E140)*F138),0)</f>
        <v>250</v>
      </c>
      <c r="F138" s="47">
        <v>0.5</v>
      </c>
      <c r="H138" s="48" t="str">
        <f t="shared" ref="H138" si="285">LOWER(_xlfn.CONCAT("    --",B136,"-",B138,": rgba(",C138,", ",D138,", ",E138,", ","1.00",");"))</f>
        <v xml:space="preserve">    --b6-lighter: rgba(185, 236, 250, 1.00);</v>
      </c>
      <c r="I138" s="48" t="str">
        <f t="shared" ref="I138" si="286">LOWER(_xlfn.CONCAT("  .color-",B136,"-",B138,"{","color: var(--",B136,"-",B138,");","}"))</f>
        <v xml:space="preserve">  .color-b6-lighter{color: var(--b6-lighter);}</v>
      </c>
      <c r="J138" s="48" t="str">
        <f t="shared" ref="J138" si="287">LOWER(_xlfn.CONCAT("  .bg-",B136,"-",B138,"{","background-color: var(--",B136,"-",B138,");","}"))</f>
        <v xml:space="preserve">  .bg-b6-lighter{background-color: var(--b6-lighter);}</v>
      </c>
      <c r="L138">
        <f t="shared" si="185"/>
        <v>13</v>
      </c>
      <c r="M138" t="str">
        <f>INDEX(tbl_Accent_RGBs9224[ID],L138,1)</f>
        <v>b4</v>
      </c>
      <c r="N138">
        <f>INDEX(tbl_Accent_RGBs9224[R],$L138,1)</f>
        <v>245</v>
      </c>
      <c r="O138">
        <f>INDEX(tbl_Accent_RGBs9224[G],$L138,1)</f>
        <v>239</v>
      </c>
      <c r="P138">
        <f>INDEX(tbl_Accent_RGBs9224[B],$L138,1)</f>
        <v>115</v>
      </c>
      <c r="Q138" s="57">
        <v>0.6</v>
      </c>
      <c r="R138" t="str">
        <f t="shared" si="159"/>
        <v xml:space="preserve">    --b4-60: rgba(245, 239, 115, 0.6);</v>
      </c>
      <c r="S138" t="str">
        <f t="shared" si="160"/>
        <v xml:space="preserve">  .bg-b4-60{background-color: var(--b4-60);}</v>
      </c>
    </row>
    <row r="139" spans="2:19" x14ac:dyDescent="0.45">
      <c r="B139" s="27" t="s">
        <v>27</v>
      </c>
      <c r="C139" s="48">
        <f>ROUND(255-((255-C140)*F139),0)</f>
        <v>150</v>
      </c>
      <c r="D139" s="48">
        <f>ROUND(255-((255-D140)*F139),0)</f>
        <v>227</v>
      </c>
      <c r="E139" s="48">
        <f>ROUND(255-((255-E140)*F139),0)</f>
        <v>248</v>
      </c>
      <c r="F139" s="47">
        <v>0.75</v>
      </c>
      <c r="H139" s="48" t="str">
        <f t="shared" ref="H139" si="288">LOWER(_xlfn.CONCAT("    --",B136,"-",B139,": rgba(",C139,", ",D139,", ",E139,", ","1.00",");"))</f>
        <v xml:space="preserve">    --b6-light: rgba(150, 227, 248, 1.00);</v>
      </c>
      <c r="I139" s="48" t="str">
        <f t="shared" ref="I139" si="289">LOWER(_xlfn.CONCAT("  .color-",B136,"-",B139,"{","color: var(--",B136,"-",B139,");","}"))</f>
        <v xml:space="preserve">  .color-b6-light{color: var(--b6-light);}</v>
      </c>
      <c r="J139" s="48" t="str">
        <f t="shared" ref="J139" si="290">LOWER(_xlfn.CONCAT("  .bg-",B136,"-",B139,"{","background-color: var(--",B136,"-",B139,");","}"))</f>
        <v xml:space="preserve">  .bg-b6-light{background-color: var(--b6-light);}</v>
      </c>
      <c r="L139">
        <f t="shared" si="185"/>
        <v>13</v>
      </c>
      <c r="M139" t="str">
        <f>INDEX(tbl_Accent_RGBs9224[ID],L139,1)</f>
        <v>b4</v>
      </c>
      <c r="N139">
        <f>INDEX(tbl_Accent_RGBs9224[R],$L139,1)</f>
        <v>245</v>
      </c>
      <c r="O139">
        <f>INDEX(tbl_Accent_RGBs9224[G],$L139,1)</f>
        <v>239</v>
      </c>
      <c r="P139">
        <f>INDEX(tbl_Accent_RGBs9224[B],$L139,1)</f>
        <v>115</v>
      </c>
      <c r="Q139" s="57">
        <v>0.7</v>
      </c>
      <c r="R139" t="str">
        <f t="shared" si="159"/>
        <v xml:space="preserve">    --b4-70: rgba(245, 239, 115, 0.7);</v>
      </c>
      <c r="S139" t="str">
        <f t="shared" si="160"/>
        <v xml:space="preserve">  .bg-b4-70{background-color: var(--b4-70);}</v>
      </c>
    </row>
    <row r="140" spans="2:19" x14ac:dyDescent="0.45">
      <c r="B140" s="27" t="s">
        <v>28</v>
      </c>
      <c r="C140" s="50">
        <f>VLOOKUP(B136,$B$3:$E$21,2,FALSE)</f>
        <v>115</v>
      </c>
      <c r="D140" s="50">
        <f>VLOOKUP(B136,$B$3:$E$21,3,FALSE)</f>
        <v>217</v>
      </c>
      <c r="E140" s="50">
        <f>VLOOKUP(B136,$B$3:$E$21,4,FALSE)</f>
        <v>245</v>
      </c>
      <c r="F140" s="47">
        <v>0</v>
      </c>
      <c r="H140" s="48" t="str">
        <f t="shared" ref="H140" si="291">LOWER(_xlfn.CONCAT("    --",B136,"-",B140,": rgba(",C140,", ",D140,", ",E140,", ","1.00",");"))</f>
        <v xml:space="preserve">    --b6-normal: rgba(115, 217, 245, 1.00);</v>
      </c>
      <c r="I140" s="48" t="str">
        <f t="shared" ref="I140" si="292">LOWER(_xlfn.CONCAT("  .color-",B136,"-",B140,"{","color: var(--",B136,"-",B140,");","}"))</f>
        <v xml:space="preserve">  .color-b6-normal{color: var(--b6-normal);}</v>
      </c>
      <c r="J140" s="48" t="str">
        <f t="shared" ref="J140" si="293">LOWER(_xlfn.CONCAT("  .bg-",B136,"-",B140,"{","background-color: var(--",B136,"-",B140,");","}"))</f>
        <v xml:space="preserve">  .bg-b6-normal{background-color: var(--b6-normal);}</v>
      </c>
      <c r="L140">
        <f t="shared" si="185"/>
        <v>13</v>
      </c>
      <c r="M140" t="str">
        <f>INDEX(tbl_Accent_RGBs9224[ID],L140,1)</f>
        <v>b4</v>
      </c>
      <c r="N140">
        <f>INDEX(tbl_Accent_RGBs9224[R],$L140,1)</f>
        <v>245</v>
      </c>
      <c r="O140">
        <f>INDEX(tbl_Accent_RGBs9224[G],$L140,1)</f>
        <v>239</v>
      </c>
      <c r="P140">
        <f>INDEX(tbl_Accent_RGBs9224[B],$L140,1)</f>
        <v>115</v>
      </c>
      <c r="Q140" s="57">
        <v>0.8</v>
      </c>
      <c r="R140" t="str">
        <f t="shared" si="159"/>
        <v xml:space="preserve">    --b4-80: rgba(245, 239, 115, 0.8);</v>
      </c>
      <c r="S140" t="str">
        <f t="shared" si="160"/>
        <v xml:space="preserve">  .bg-b4-80{background-color: var(--b4-80);}</v>
      </c>
    </row>
    <row r="141" spans="2:19" x14ac:dyDescent="0.45">
      <c r="B141" s="27" t="s">
        <v>29</v>
      </c>
      <c r="C141" s="48">
        <f>ROUND(C140*(1+F141),0)</f>
        <v>86</v>
      </c>
      <c r="D141" s="48">
        <f>ROUND(D140*(1+F141),0)</f>
        <v>163</v>
      </c>
      <c r="E141" s="48">
        <f>ROUND(E140*(1+F141),0)</f>
        <v>184</v>
      </c>
      <c r="F141" s="47">
        <v>-0.25</v>
      </c>
      <c r="H141" s="48" t="str">
        <f t="shared" ref="H141" si="294">LOWER(_xlfn.CONCAT("    --",B136,"-",B141,": rgba(",C141,", ",D141,", ",E141,", ","1.00",");"))</f>
        <v xml:space="preserve">    --b6-dark: rgba(86, 163, 184, 1.00);</v>
      </c>
      <c r="I141" s="48" t="str">
        <f t="shared" ref="I141" si="295">LOWER(_xlfn.CONCAT("  .color-",B136,"-",B141,"{","color: var(--",B136,"-",B141,");","}"))</f>
        <v xml:space="preserve">  .color-b6-dark{color: var(--b6-dark);}</v>
      </c>
      <c r="J141" s="48" t="str">
        <f t="shared" ref="J141" si="296">LOWER(_xlfn.CONCAT("  .bg-",B136,"-",B141,"{","background-color: var(--",B136,"-",B141,");","}"))</f>
        <v xml:space="preserve">  .bg-b6-dark{background-color: var(--b6-dark);}</v>
      </c>
      <c r="L141">
        <f t="shared" si="185"/>
        <v>13</v>
      </c>
      <c r="M141" t="str">
        <f>INDEX(tbl_Accent_RGBs9224[ID],L141,1)</f>
        <v>b4</v>
      </c>
      <c r="N141">
        <f>INDEX(tbl_Accent_RGBs9224[R],$L141,1)</f>
        <v>245</v>
      </c>
      <c r="O141">
        <f>INDEX(tbl_Accent_RGBs9224[G],$L141,1)</f>
        <v>239</v>
      </c>
      <c r="P141">
        <f>INDEX(tbl_Accent_RGBs9224[B],$L141,1)</f>
        <v>115</v>
      </c>
      <c r="Q141" s="57">
        <v>0.9</v>
      </c>
      <c r="R141" t="str">
        <f t="shared" si="159"/>
        <v xml:space="preserve">    --b4-90: rgba(245, 239, 115, 0.9);</v>
      </c>
      <c r="S141" t="str">
        <f t="shared" si="160"/>
        <v xml:space="preserve">  .bg-b4-90{background-color: var(--b4-90);}</v>
      </c>
    </row>
    <row r="142" spans="2:19" x14ac:dyDescent="0.45">
      <c r="B142" s="27" t="s">
        <v>30</v>
      </c>
      <c r="C142" s="48">
        <f>ROUND(C140*(1+F142),0)</f>
        <v>58</v>
      </c>
      <c r="D142" s="48">
        <f>ROUND(D140*(1+F142),0)</f>
        <v>109</v>
      </c>
      <c r="E142" s="48">
        <f>ROUND(E140*(1+F142),0)</f>
        <v>123</v>
      </c>
      <c r="F142" s="47">
        <v>-0.5</v>
      </c>
      <c r="H142" s="48" t="str">
        <f t="shared" ref="H142" si="297">LOWER(_xlfn.CONCAT("    --",B136,"-",B142,": rgba(",C142,", ",D142,", ",E142,", ","1.00",");"))</f>
        <v xml:space="preserve">    --b6-darker: rgba(58, 109, 123, 1.00);</v>
      </c>
      <c r="I142" s="48" t="str">
        <f t="shared" ref="I142" si="298">LOWER(_xlfn.CONCAT("  .color-",B136,"-",B142,"{","color: var(--",B136,"-",B142,");","}"))</f>
        <v xml:space="preserve">  .color-b6-darker{color: var(--b6-darker);}</v>
      </c>
      <c r="J142" s="48" t="str">
        <f t="shared" ref="J142" si="299">LOWER(_xlfn.CONCAT("  .bg-",B136,"-",B142,"{","background-color: var(--",B136,"-",B142,");","}"))</f>
        <v xml:space="preserve">  .bg-b6-darker{background-color: var(--b6-darker);}</v>
      </c>
      <c r="L142">
        <f t="shared" si="185"/>
        <v>14</v>
      </c>
      <c r="M142" t="str">
        <f>INDEX(tbl_Accent_RGBs9224[ID],L142,1)</f>
        <v>b5</v>
      </c>
      <c r="N142">
        <f>INDEX(tbl_Accent_RGBs9224[R],$L142,1)</f>
        <v>161</v>
      </c>
      <c r="O142">
        <f>INDEX(tbl_Accent_RGBs9224[G],$L142,1)</f>
        <v>245</v>
      </c>
      <c r="P142">
        <f>INDEX(tbl_Accent_RGBs9224[B],$L142,1)</f>
        <v>115</v>
      </c>
      <c r="Q142" s="57">
        <v>0.1</v>
      </c>
      <c r="R142" t="str">
        <f t="shared" si="159"/>
        <v xml:space="preserve">    --b5-10: rgba(161, 245, 115, 0.1);</v>
      </c>
      <c r="S142" t="str">
        <f t="shared" si="160"/>
        <v xml:space="preserve">  .bg-b5-10{background-color: var(--b5-10);}</v>
      </c>
    </row>
    <row r="143" spans="2:19" x14ac:dyDescent="0.45">
      <c r="B143" s="27" t="s">
        <v>31</v>
      </c>
      <c r="C143" s="48">
        <f>ROUND(C140*(1+F143),0)</f>
        <v>29</v>
      </c>
      <c r="D143" s="48">
        <f>ROUND(D140*(1+F143),0)</f>
        <v>54</v>
      </c>
      <c r="E143" s="48">
        <f>ROUND(E140*(1+F143),0)</f>
        <v>61</v>
      </c>
      <c r="F143" s="47">
        <v>-0.75</v>
      </c>
      <c r="H143" s="48" t="str">
        <f t="shared" ref="H143" si="300">LOWER(_xlfn.CONCAT("    --",B136,"-",B143,": rgba(",C143,", ",D143,", ",E143,", ","1.00",");"))</f>
        <v xml:space="preserve">    --b6-darkest: rgba(29, 54, 61, 1.00);</v>
      </c>
      <c r="I143" s="48" t="str">
        <f t="shared" ref="I143" si="301">LOWER(_xlfn.CONCAT("  .color-",B136,"-",B143,"{","color: var(--",B136,"-",B143,");","}"))</f>
        <v xml:space="preserve">  .color-b6-darkest{color: var(--b6-darkest);}</v>
      </c>
      <c r="J143" s="48" t="str">
        <f t="shared" ref="J143" si="302">LOWER(_xlfn.CONCAT("  .bg-",B136,"-",B143,"{","background-color: var(--",B136,"-",B143,");","}"))</f>
        <v xml:space="preserve">  .bg-b6-darkest{background-color: var(--b6-darkest);}</v>
      </c>
      <c r="L143">
        <f t="shared" si="185"/>
        <v>14</v>
      </c>
      <c r="M143" t="str">
        <f>INDEX(tbl_Accent_RGBs9224[ID],L143,1)</f>
        <v>b5</v>
      </c>
      <c r="N143">
        <f>INDEX(tbl_Accent_RGBs9224[R],$L143,1)</f>
        <v>161</v>
      </c>
      <c r="O143">
        <f>INDEX(tbl_Accent_RGBs9224[G],$L143,1)</f>
        <v>245</v>
      </c>
      <c r="P143">
        <f>INDEX(tbl_Accent_RGBs9224[B],$L143,1)</f>
        <v>115</v>
      </c>
      <c r="Q143" s="57">
        <v>0.2</v>
      </c>
      <c r="R143" t="str">
        <f t="shared" si="159"/>
        <v xml:space="preserve">    --b5-20: rgba(161, 245, 115, 0.2);</v>
      </c>
      <c r="S143" t="str">
        <f t="shared" si="160"/>
        <v xml:space="preserve">  .bg-b5-20{background-color: var(--b5-20);}</v>
      </c>
    </row>
    <row r="144" spans="2:19" x14ac:dyDescent="0.45">
      <c r="B144" s="46" t="s">
        <v>53</v>
      </c>
      <c r="C144" s="49" t="s">
        <v>33</v>
      </c>
      <c r="D144" s="49" t="s">
        <v>34</v>
      </c>
      <c r="E144" s="49" t="s">
        <v>35</v>
      </c>
      <c r="F144" s="49" t="s">
        <v>36</v>
      </c>
      <c r="H144" s="49"/>
      <c r="I144" s="49"/>
      <c r="J144" s="49"/>
      <c r="L144">
        <f t="shared" si="185"/>
        <v>14</v>
      </c>
      <c r="M144" t="str">
        <f>INDEX(tbl_Accent_RGBs9224[ID],L144,1)</f>
        <v>b5</v>
      </c>
      <c r="N144">
        <f>INDEX(tbl_Accent_RGBs9224[R],$L144,1)</f>
        <v>161</v>
      </c>
      <c r="O144">
        <f>INDEX(tbl_Accent_RGBs9224[G],$L144,1)</f>
        <v>245</v>
      </c>
      <c r="P144">
        <f>INDEX(tbl_Accent_RGBs9224[B],$L144,1)</f>
        <v>115</v>
      </c>
      <c r="Q144" s="57">
        <v>0.3</v>
      </c>
      <c r="R144" t="str">
        <f t="shared" si="159"/>
        <v xml:space="preserve">    --b5-30: rgba(161, 245, 115, 0.3);</v>
      </c>
      <c r="S144" t="str">
        <f t="shared" si="160"/>
        <v xml:space="preserve">  .bg-b5-30{background-color: var(--b5-30);}</v>
      </c>
    </row>
    <row r="145" spans="2:19" x14ac:dyDescent="0.45">
      <c r="B145" s="27" t="s">
        <v>25</v>
      </c>
      <c r="C145" s="48">
        <f>ROUND(255-((255-C148)*F145),0)</f>
        <v>220</v>
      </c>
      <c r="D145" s="48">
        <f>ROUND(255-((255-D148)*F145),0)</f>
        <v>239</v>
      </c>
      <c r="E145" s="48">
        <f>ROUND(255-((255-E148)*F145),0)</f>
        <v>253</v>
      </c>
      <c r="F145" s="47">
        <v>0.25</v>
      </c>
      <c r="H145" s="48" t="str">
        <f t="shared" ref="H145" si="303">LOWER(_xlfn.CONCAT("    --",B144,"-",B145,": rgba(",C145,", ",D145,", ",E145,", ","1.00",");"))</f>
        <v xml:space="preserve">    --b7-lightest: rgba(220, 239, 253, 1.00);</v>
      </c>
      <c r="I145" s="48" t="str">
        <f t="shared" ref="I145" si="304">LOWER(_xlfn.CONCAT("  .color-",B144,"-",B145,"{","color: var(--",B144,"-",B145,");","}"))</f>
        <v xml:space="preserve">  .color-b7-lightest{color: var(--b7-lightest);}</v>
      </c>
      <c r="J145" s="48" t="str">
        <f t="shared" ref="J145" si="305">LOWER(_xlfn.CONCAT("  .bg-",B144,"-",B145,"{","background-color: var(--",B144,"-",B145,");","}"))</f>
        <v xml:space="preserve">  .bg-b7-lightest{background-color: var(--b7-lightest);}</v>
      </c>
      <c r="L145">
        <f t="shared" si="185"/>
        <v>14</v>
      </c>
      <c r="M145" t="str">
        <f>INDEX(tbl_Accent_RGBs9224[ID],L145,1)</f>
        <v>b5</v>
      </c>
      <c r="N145">
        <f>INDEX(tbl_Accent_RGBs9224[R],$L145,1)</f>
        <v>161</v>
      </c>
      <c r="O145">
        <f>INDEX(tbl_Accent_RGBs9224[G],$L145,1)</f>
        <v>245</v>
      </c>
      <c r="P145">
        <f>INDEX(tbl_Accent_RGBs9224[B],$L145,1)</f>
        <v>115</v>
      </c>
      <c r="Q145" s="57">
        <v>0.4</v>
      </c>
      <c r="R145" t="str">
        <f t="shared" si="159"/>
        <v xml:space="preserve">    --b5-40: rgba(161, 245, 115, 0.4);</v>
      </c>
      <c r="S145" t="str">
        <f t="shared" si="160"/>
        <v xml:space="preserve">  .bg-b5-40{background-color: var(--b5-40);}</v>
      </c>
    </row>
    <row r="146" spans="2:19" x14ac:dyDescent="0.45">
      <c r="B146" s="27" t="s">
        <v>26</v>
      </c>
      <c r="C146" s="48">
        <f>ROUND(255-((255-C148)*F146),0)</f>
        <v>185</v>
      </c>
      <c r="D146" s="48">
        <f>ROUND(255-((255-D148)*F146),0)</f>
        <v>224</v>
      </c>
      <c r="E146" s="48">
        <f>ROUND(255-((255-E148)*F146),0)</f>
        <v>250</v>
      </c>
      <c r="F146" s="47">
        <v>0.5</v>
      </c>
      <c r="H146" s="48" t="str">
        <f t="shared" ref="H146" si="306">LOWER(_xlfn.CONCAT("    --",B144,"-",B146,": rgba(",C146,", ",D146,", ",E146,", ","1.00",");"))</f>
        <v xml:space="preserve">    --b7-lighter: rgba(185, 224, 250, 1.00);</v>
      </c>
      <c r="I146" s="48" t="str">
        <f t="shared" ref="I146" si="307">LOWER(_xlfn.CONCAT("  .color-",B144,"-",B146,"{","color: var(--",B144,"-",B146,");","}"))</f>
        <v xml:space="preserve">  .color-b7-lighter{color: var(--b7-lighter);}</v>
      </c>
      <c r="J146" s="48" t="str">
        <f t="shared" ref="J146" si="308">LOWER(_xlfn.CONCAT("  .bg-",B144,"-",B146,"{","background-color: var(--",B144,"-",B146,");","}"))</f>
        <v xml:space="preserve">  .bg-b7-lighter{background-color: var(--b7-lighter);}</v>
      </c>
      <c r="L146">
        <f t="shared" si="185"/>
        <v>14</v>
      </c>
      <c r="M146" t="str">
        <f>INDEX(tbl_Accent_RGBs9224[ID],L146,1)</f>
        <v>b5</v>
      </c>
      <c r="N146">
        <f>INDEX(tbl_Accent_RGBs9224[R],$L146,1)</f>
        <v>161</v>
      </c>
      <c r="O146">
        <f>INDEX(tbl_Accent_RGBs9224[G],$L146,1)</f>
        <v>245</v>
      </c>
      <c r="P146">
        <f>INDEX(tbl_Accent_RGBs9224[B],$L146,1)</f>
        <v>115</v>
      </c>
      <c r="Q146" s="57">
        <v>0.5</v>
      </c>
      <c r="R146" t="str">
        <f t="shared" si="159"/>
        <v xml:space="preserve">    --b5-50: rgba(161, 245, 115, 0.5);</v>
      </c>
      <c r="S146" t="str">
        <f t="shared" si="160"/>
        <v xml:space="preserve">  .bg-b5-50{background-color: var(--b5-50);}</v>
      </c>
    </row>
    <row r="147" spans="2:19" x14ac:dyDescent="0.45">
      <c r="B147" s="27" t="s">
        <v>27</v>
      </c>
      <c r="C147" s="48">
        <f>ROUND(255-((255-C148)*F147),0)</f>
        <v>150</v>
      </c>
      <c r="D147" s="48">
        <f>ROUND(255-((255-D148)*F147),0)</f>
        <v>208</v>
      </c>
      <c r="E147" s="48">
        <f>ROUND(255-((255-E148)*F147),0)</f>
        <v>248</v>
      </c>
      <c r="F147" s="47">
        <v>0.75</v>
      </c>
      <c r="H147" s="48" t="str">
        <f t="shared" ref="H147" si="309">LOWER(_xlfn.CONCAT("    --",B144,"-",B147,": rgba(",C147,", ",D147,", ",E147,", ","1.00",");"))</f>
        <v xml:space="preserve">    --b7-light: rgba(150, 208, 248, 1.00);</v>
      </c>
      <c r="I147" s="48" t="str">
        <f t="shared" ref="I147" si="310">LOWER(_xlfn.CONCAT("  .color-",B144,"-",B147,"{","color: var(--",B144,"-",B147,");","}"))</f>
        <v xml:space="preserve">  .color-b7-light{color: var(--b7-light);}</v>
      </c>
      <c r="J147" s="48" t="str">
        <f t="shared" ref="J147" si="311">LOWER(_xlfn.CONCAT("  .bg-",B144,"-",B147,"{","background-color: var(--",B144,"-",B147,");","}"))</f>
        <v xml:space="preserve">  .bg-b7-light{background-color: var(--b7-light);}</v>
      </c>
      <c r="L147">
        <f t="shared" si="185"/>
        <v>14</v>
      </c>
      <c r="M147" t="str">
        <f>INDEX(tbl_Accent_RGBs9224[ID],L147,1)</f>
        <v>b5</v>
      </c>
      <c r="N147">
        <f>INDEX(tbl_Accent_RGBs9224[R],$L147,1)</f>
        <v>161</v>
      </c>
      <c r="O147">
        <f>INDEX(tbl_Accent_RGBs9224[G],$L147,1)</f>
        <v>245</v>
      </c>
      <c r="P147">
        <f>INDEX(tbl_Accent_RGBs9224[B],$L147,1)</f>
        <v>115</v>
      </c>
      <c r="Q147" s="57">
        <v>0.6</v>
      </c>
      <c r="R147" t="str">
        <f t="shared" si="159"/>
        <v xml:space="preserve">    --b5-60: rgba(161, 245, 115, 0.6);</v>
      </c>
      <c r="S147" t="str">
        <f t="shared" si="160"/>
        <v xml:space="preserve">  .bg-b5-60{background-color: var(--b5-60);}</v>
      </c>
    </row>
    <row r="148" spans="2:19" x14ac:dyDescent="0.45">
      <c r="B148" s="27" t="s">
        <v>28</v>
      </c>
      <c r="C148" s="50">
        <f>VLOOKUP(B144,$B$3:$E$21,2,FALSE)</f>
        <v>115</v>
      </c>
      <c r="D148" s="50">
        <f>VLOOKUP(B144,$B$3:$E$21,3,FALSE)</f>
        <v>192</v>
      </c>
      <c r="E148" s="50">
        <f>VLOOKUP(B144,$B$3:$E$21,4,FALSE)</f>
        <v>245</v>
      </c>
      <c r="F148" s="47">
        <v>0</v>
      </c>
      <c r="H148" s="48" t="str">
        <f t="shared" ref="H148" si="312">LOWER(_xlfn.CONCAT("    --",B144,"-",B148,": rgba(",C148,", ",D148,", ",E148,", ","1.00",");"))</f>
        <v xml:space="preserve">    --b7-normal: rgba(115, 192, 245, 1.00);</v>
      </c>
      <c r="I148" s="48" t="str">
        <f t="shared" ref="I148" si="313">LOWER(_xlfn.CONCAT("  .color-",B144,"-",B148,"{","color: var(--",B144,"-",B148,");","}"))</f>
        <v xml:space="preserve">  .color-b7-normal{color: var(--b7-normal);}</v>
      </c>
      <c r="J148" s="48" t="str">
        <f t="shared" ref="J148" si="314">LOWER(_xlfn.CONCAT("  .bg-",B144,"-",B148,"{","background-color: var(--",B144,"-",B148,");","}"))</f>
        <v xml:space="preserve">  .bg-b7-normal{background-color: var(--b7-normal);}</v>
      </c>
      <c r="L148">
        <f t="shared" si="185"/>
        <v>14</v>
      </c>
      <c r="M148" t="str">
        <f>INDEX(tbl_Accent_RGBs9224[ID],L148,1)</f>
        <v>b5</v>
      </c>
      <c r="N148">
        <f>INDEX(tbl_Accent_RGBs9224[R],$L148,1)</f>
        <v>161</v>
      </c>
      <c r="O148">
        <f>INDEX(tbl_Accent_RGBs9224[G],$L148,1)</f>
        <v>245</v>
      </c>
      <c r="P148">
        <f>INDEX(tbl_Accent_RGBs9224[B],$L148,1)</f>
        <v>115</v>
      </c>
      <c r="Q148" s="57">
        <v>0.7</v>
      </c>
      <c r="R148" t="str">
        <f t="shared" si="159"/>
        <v xml:space="preserve">    --b5-70: rgba(161, 245, 115, 0.7);</v>
      </c>
      <c r="S148" t="str">
        <f t="shared" si="160"/>
        <v xml:space="preserve">  .bg-b5-70{background-color: var(--b5-70);}</v>
      </c>
    </row>
    <row r="149" spans="2:19" x14ac:dyDescent="0.45">
      <c r="B149" s="27" t="s">
        <v>29</v>
      </c>
      <c r="C149" s="48">
        <f>ROUND(C148*(1+F149),0)</f>
        <v>86</v>
      </c>
      <c r="D149" s="48">
        <f>ROUND(D148*(1+F149),0)</f>
        <v>144</v>
      </c>
      <c r="E149" s="48">
        <f>ROUND(E148*(1+F149),0)</f>
        <v>184</v>
      </c>
      <c r="F149" s="47">
        <v>-0.25</v>
      </c>
      <c r="H149" s="48" t="str">
        <f t="shared" ref="H149" si="315">LOWER(_xlfn.CONCAT("    --",B144,"-",B149,": rgba(",C149,", ",D149,", ",E149,", ","1.00",");"))</f>
        <v xml:space="preserve">    --b7-dark: rgba(86, 144, 184, 1.00);</v>
      </c>
      <c r="I149" s="48" t="str">
        <f t="shared" ref="I149" si="316">LOWER(_xlfn.CONCAT("  .color-",B144,"-",B149,"{","color: var(--",B144,"-",B149,");","}"))</f>
        <v xml:space="preserve">  .color-b7-dark{color: var(--b7-dark);}</v>
      </c>
      <c r="J149" s="48" t="str">
        <f t="shared" ref="J149" si="317">LOWER(_xlfn.CONCAT("  .bg-",B144,"-",B149,"{","background-color: var(--",B144,"-",B149,");","}"))</f>
        <v xml:space="preserve">  .bg-b7-dark{background-color: var(--b7-dark);}</v>
      </c>
      <c r="L149">
        <f t="shared" si="185"/>
        <v>14</v>
      </c>
      <c r="M149" t="str">
        <f>INDEX(tbl_Accent_RGBs9224[ID],L149,1)</f>
        <v>b5</v>
      </c>
      <c r="N149">
        <f>INDEX(tbl_Accent_RGBs9224[R],$L149,1)</f>
        <v>161</v>
      </c>
      <c r="O149">
        <f>INDEX(tbl_Accent_RGBs9224[G],$L149,1)</f>
        <v>245</v>
      </c>
      <c r="P149">
        <f>INDEX(tbl_Accent_RGBs9224[B],$L149,1)</f>
        <v>115</v>
      </c>
      <c r="Q149" s="57">
        <v>0.8</v>
      </c>
      <c r="R149" t="str">
        <f t="shared" si="159"/>
        <v xml:space="preserve">    --b5-80: rgba(161, 245, 115, 0.8);</v>
      </c>
      <c r="S149" t="str">
        <f t="shared" si="160"/>
        <v xml:space="preserve">  .bg-b5-80{background-color: var(--b5-80);}</v>
      </c>
    </row>
    <row r="150" spans="2:19" x14ac:dyDescent="0.45">
      <c r="B150" s="27" t="s">
        <v>30</v>
      </c>
      <c r="C150" s="48">
        <f>ROUND(C148*(1+F150),0)</f>
        <v>58</v>
      </c>
      <c r="D150" s="48">
        <f>ROUND(D148*(1+F150),0)</f>
        <v>96</v>
      </c>
      <c r="E150" s="48">
        <f>ROUND(E148*(1+F150),0)</f>
        <v>123</v>
      </c>
      <c r="F150" s="47">
        <v>-0.5</v>
      </c>
      <c r="H150" s="48" t="str">
        <f t="shared" ref="H150" si="318">LOWER(_xlfn.CONCAT("    --",B144,"-",B150,": rgba(",C150,", ",D150,", ",E150,", ","1.00",");"))</f>
        <v xml:space="preserve">    --b7-darker: rgba(58, 96, 123, 1.00);</v>
      </c>
      <c r="I150" s="48" t="str">
        <f t="shared" ref="I150" si="319">LOWER(_xlfn.CONCAT("  .color-",B144,"-",B150,"{","color: var(--",B144,"-",B150,");","}"))</f>
        <v xml:space="preserve">  .color-b7-darker{color: var(--b7-darker);}</v>
      </c>
      <c r="J150" s="48" t="str">
        <f t="shared" ref="J150" si="320">LOWER(_xlfn.CONCAT("  .bg-",B144,"-",B150,"{","background-color: var(--",B144,"-",B150,");","}"))</f>
        <v xml:space="preserve">  .bg-b7-darker{background-color: var(--b7-darker);}</v>
      </c>
      <c r="L150">
        <f t="shared" si="185"/>
        <v>14</v>
      </c>
      <c r="M150" t="str">
        <f>INDEX(tbl_Accent_RGBs9224[ID],L150,1)</f>
        <v>b5</v>
      </c>
      <c r="N150">
        <f>INDEX(tbl_Accent_RGBs9224[R],$L150,1)</f>
        <v>161</v>
      </c>
      <c r="O150">
        <f>INDEX(tbl_Accent_RGBs9224[G],$L150,1)</f>
        <v>245</v>
      </c>
      <c r="P150">
        <f>INDEX(tbl_Accent_RGBs9224[B],$L150,1)</f>
        <v>115</v>
      </c>
      <c r="Q150" s="57">
        <v>0.9</v>
      </c>
      <c r="R150" t="str">
        <f t="shared" si="159"/>
        <v xml:space="preserve">    --b5-90: rgba(161, 245, 115, 0.9);</v>
      </c>
      <c r="S150" t="str">
        <f t="shared" si="160"/>
        <v xml:space="preserve">  .bg-b5-90{background-color: var(--b5-90);}</v>
      </c>
    </row>
    <row r="151" spans="2:19" x14ac:dyDescent="0.45">
      <c r="B151" s="27" t="s">
        <v>31</v>
      </c>
      <c r="C151" s="48">
        <f>ROUND(C148*(1+F151),0)</f>
        <v>29</v>
      </c>
      <c r="D151" s="48">
        <f>ROUND(D148*(1+F151),0)</f>
        <v>48</v>
      </c>
      <c r="E151" s="48">
        <f>ROUND(E148*(1+F151),0)</f>
        <v>61</v>
      </c>
      <c r="F151" s="47">
        <v>-0.75</v>
      </c>
      <c r="H151" s="48" t="str">
        <f t="shared" ref="H151" si="321">LOWER(_xlfn.CONCAT("    --",B144,"-",B151,": rgba(",C151,", ",D151,", ",E151,", ","1.00",");"))</f>
        <v xml:space="preserve">    --b7-darkest: rgba(29, 48, 61, 1.00);</v>
      </c>
      <c r="I151" s="48" t="str">
        <f t="shared" ref="I151" si="322">LOWER(_xlfn.CONCAT("  .color-",B144,"-",B151,"{","color: var(--",B144,"-",B151,");","}"))</f>
        <v xml:space="preserve">  .color-b7-darkest{color: var(--b7-darkest);}</v>
      </c>
      <c r="J151" s="48" t="str">
        <f t="shared" ref="J151" si="323">LOWER(_xlfn.CONCAT("  .bg-",B144,"-",B151,"{","background-color: var(--",B144,"-",B151,");","}"))</f>
        <v xml:space="preserve">  .bg-b7-darkest{background-color: var(--b7-darkest);}</v>
      </c>
      <c r="L151">
        <f t="shared" si="185"/>
        <v>15</v>
      </c>
      <c r="M151" t="str">
        <f>INDEX(tbl_Accent_RGBs9224[ID],L151,1)</f>
        <v>b6</v>
      </c>
      <c r="N151">
        <f>INDEX(tbl_Accent_RGBs9224[R],$L151,1)</f>
        <v>115</v>
      </c>
      <c r="O151">
        <f>INDEX(tbl_Accent_RGBs9224[G],$L151,1)</f>
        <v>217</v>
      </c>
      <c r="P151">
        <f>INDEX(tbl_Accent_RGBs9224[B],$L151,1)</f>
        <v>245</v>
      </c>
      <c r="Q151" s="57">
        <v>0.1</v>
      </c>
      <c r="R151" t="str">
        <f t="shared" si="159"/>
        <v xml:space="preserve">    --b6-10: rgba(115, 217, 245, 0.1);</v>
      </c>
      <c r="S151" t="str">
        <f t="shared" si="160"/>
        <v xml:space="preserve">  .bg-b6-10{background-color: var(--b6-10);}</v>
      </c>
    </row>
    <row r="152" spans="2:19" x14ac:dyDescent="0.45">
      <c r="B152" s="46" t="s">
        <v>54</v>
      </c>
      <c r="C152" s="49" t="s">
        <v>33</v>
      </c>
      <c r="D152" s="49" t="s">
        <v>34</v>
      </c>
      <c r="E152" s="49" t="s">
        <v>35</v>
      </c>
      <c r="F152" s="49" t="s">
        <v>36</v>
      </c>
      <c r="H152" s="49"/>
      <c r="I152" s="49"/>
      <c r="J152" s="49"/>
      <c r="L152">
        <f t="shared" si="185"/>
        <v>15</v>
      </c>
      <c r="M152" t="str">
        <f>INDEX(tbl_Accent_RGBs9224[ID],L152,1)</f>
        <v>b6</v>
      </c>
      <c r="N152">
        <f>INDEX(tbl_Accent_RGBs9224[R],$L152,1)</f>
        <v>115</v>
      </c>
      <c r="O152">
        <f>INDEX(tbl_Accent_RGBs9224[G],$L152,1)</f>
        <v>217</v>
      </c>
      <c r="P152">
        <f>INDEX(tbl_Accent_RGBs9224[B],$L152,1)</f>
        <v>245</v>
      </c>
      <c r="Q152" s="57">
        <v>0.2</v>
      </c>
      <c r="R152" t="str">
        <f t="shared" si="159"/>
        <v xml:space="preserve">    --b6-20: rgba(115, 217, 245, 0.2);</v>
      </c>
      <c r="S152" t="str">
        <f t="shared" si="160"/>
        <v xml:space="preserve">  .bg-b6-20{background-color: var(--b6-20);}</v>
      </c>
    </row>
    <row r="153" spans="2:19" x14ac:dyDescent="0.45">
      <c r="B153" s="27" t="s">
        <v>25</v>
      </c>
      <c r="C153" s="48">
        <f>ROUND(255-((255-C156)*F153),0)</f>
        <v>220</v>
      </c>
      <c r="D153" s="48">
        <f>ROUND(255-((255-D156)*F153),0)</f>
        <v>228</v>
      </c>
      <c r="E153" s="48">
        <f>ROUND(255-((255-E156)*F153),0)</f>
        <v>253</v>
      </c>
      <c r="F153" s="47">
        <v>0.25</v>
      </c>
      <c r="H153" s="48" t="str">
        <f t="shared" ref="H153" si="324">LOWER(_xlfn.CONCAT("    --",B152,"-",B153,": rgba(",C153,", ",D153,", ",E153,", ","1.00",");"))</f>
        <v xml:space="preserve">    --b8-lightest: rgba(220, 228, 253, 1.00);</v>
      </c>
      <c r="I153" s="48" t="str">
        <f t="shared" ref="I153" si="325">LOWER(_xlfn.CONCAT("  .color-",B152,"-",B153,"{","color: var(--",B152,"-",B153,");","}"))</f>
        <v xml:space="preserve">  .color-b8-lightest{color: var(--b8-lightest);}</v>
      </c>
      <c r="J153" s="48" t="str">
        <f t="shared" ref="J153" si="326">LOWER(_xlfn.CONCAT("  .bg-",B152,"-",B153,"{","background-color: var(--",B152,"-",B153,");","}"))</f>
        <v xml:space="preserve">  .bg-b8-lightest{background-color: var(--b8-lightest);}</v>
      </c>
      <c r="L153">
        <f t="shared" si="185"/>
        <v>15</v>
      </c>
      <c r="M153" t="str">
        <f>INDEX(tbl_Accent_RGBs9224[ID],L153,1)</f>
        <v>b6</v>
      </c>
      <c r="N153">
        <f>INDEX(tbl_Accent_RGBs9224[R],$L153,1)</f>
        <v>115</v>
      </c>
      <c r="O153">
        <f>INDEX(tbl_Accent_RGBs9224[G],$L153,1)</f>
        <v>217</v>
      </c>
      <c r="P153">
        <f>INDEX(tbl_Accent_RGBs9224[B],$L153,1)</f>
        <v>245</v>
      </c>
      <c r="Q153" s="57">
        <v>0.3</v>
      </c>
      <c r="R153" t="str">
        <f t="shared" si="159"/>
        <v xml:space="preserve">    --b6-30: rgba(115, 217, 245, 0.3);</v>
      </c>
      <c r="S153" t="str">
        <f t="shared" si="160"/>
        <v xml:space="preserve">  .bg-b6-30{background-color: var(--b6-30);}</v>
      </c>
    </row>
    <row r="154" spans="2:19" x14ac:dyDescent="0.45">
      <c r="B154" s="27" t="s">
        <v>26</v>
      </c>
      <c r="C154" s="48">
        <f>ROUND(255-((255-C156)*F154),0)</f>
        <v>185</v>
      </c>
      <c r="D154" s="48">
        <f>ROUND(255-((255-D156)*F154),0)</f>
        <v>201</v>
      </c>
      <c r="E154" s="48">
        <f>ROUND(255-((255-E156)*F154),0)</f>
        <v>250</v>
      </c>
      <c r="F154" s="47">
        <v>0.5</v>
      </c>
      <c r="H154" s="48" t="str">
        <f t="shared" ref="H154" si="327">LOWER(_xlfn.CONCAT("    --",B152,"-",B154,": rgba(",C154,", ",D154,", ",E154,", ","1.00",");"))</f>
        <v xml:space="preserve">    --b8-lighter: rgba(185, 201, 250, 1.00);</v>
      </c>
      <c r="I154" s="48" t="str">
        <f t="shared" ref="I154" si="328">LOWER(_xlfn.CONCAT("  .color-",B152,"-",B154,"{","color: var(--",B152,"-",B154,");","}"))</f>
        <v xml:space="preserve">  .color-b8-lighter{color: var(--b8-lighter);}</v>
      </c>
      <c r="J154" s="48" t="str">
        <f t="shared" ref="J154" si="329">LOWER(_xlfn.CONCAT("  .bg-",B152,"-",B154,"{","background-color: var(--",B152,"-",B154,");","}"))</f>
        <v xml:space="preserve">  .bg-b8-lighter{background-color: var(--b8-lighter);}</v>
      </c>
      <c r="L154">
        <f t="shared" si="185"/>
        <v>15</v>
      </c>
      <c r="M154" t="str">
        <f>INDEX(tbl_Accent_RGBs9224[ID],L154,1)</f>
        <v>b6</v>
      </c>
      <c r="N154">
        <f>INDEX(tbl_Accent_RGBs9224[R],$L154,1)</f>
        <v>115</v>
      </c>
      <c r="O154">
        <f>INDEX(tbl_Accent_RGBs9224[G],$L154,1)</f>
        <v>217</v>
      </c>
      <c r="P154">
        <f>INDEX(tbl_Accent_RGBs9224[B],$L154,1)</f>
        <v>245</v>
      </c>
      <c r="Q154" s="57">
        <v>0.4</v>
      </c>
      <c r="R154" t="str">
        <f t="shared" ref="R154:R186" si="330">LOWER(_xlfn.CONCAT("    --",M154,"-",TEXT(Q154*100,"##"),": rgba(",N154,", ",O154,", ",P154,", ",Q154,");"))</f>
        <v xml:space="preserve">    --b6-40: rgba(115, 217, 245, 0.4);</v>
      </c>
      <c r="S154" t="str">
        <f t="shared" ref="S154:S186" si="331">LOWER(_xlfn.CONCAT("  .bg-",M154,"-",TEXT(Q154*100,"##"),"{","background-color: var(--",M154,"-",TEXT(Q154*100,"##"),");","}"))</f>
        <v xml:space="preserve">  .bg-b6-40{background-color: var(--b6-40);}</v>
      </c>
    </row>
    <row r="155" spans="2:19" x14ac:dyDescent="0.45">
      <c r="B155" s="27" t="s">
        <v>27</v>
      </c>
      <c r="C155" s="48">
        <f>ROUND(255-((255-C156)*F155),0)</f>
        <v>150</v>
      </c>
      <c r="D155" s="48">
        <f>ROUND(255-((255-D156)*F155),0)</f>
        <v>173</v>
      </c>
      <c r="E155" s="48">
        <f>ROUND(255-((255-E156)*F155),0)</f>
        <v>248</v>
      </c>
      <c r="F155" s="47">
        <v>0.75</v>
      </c>
      <c r="H155" s="48" t="str">
        <f t="shared" ref="H155" si="332">LOWER(_xlfn.CONCAT("    --",B152,"-",B155,": rgba(",C155,", ",D155,", ",E155,", ","1.00",");"))</f>
        <v xml:space="preserve">    --b8-light: rgba(150, 173, 248, 1.00);</v>
      </c>
      <c r="I155" s="48" t="str">
        <f t="shared" ref="I155" si="333">LOWER(_xlfn.CONCAT("  .color-",B152,"-",B155,"{","color: var(--",B152,"-",B155,");","}"))</f>
        <v xml:space="preserve">  .color-b8-light{color: var(--b8-light);}</v>
      </c>
      <c r="J155" s="48" t="str">
        <f t="shared" ref="J155" si="334">LOWER(_xlfn.CONCAT("  .bg-",B152,"-",B155,"{","background-color: var(--",B152,"-",B155,");","}"))</f>
        <v xml:space="preserve">  .bg-b8-light{background-color: var(--b8-light);}</v>
      </c>
      <c r="L155">
        <f t="shared" si="185"/>
        <v>15</v>
      </c>
      <c r="M155" t="str">
        <f>INDEX(tbl_Accent_RGBs9224[ID],L155,1)</f>
        <v>b6</v>
      </c>
      <c r="N155">
        <f>INDEX(tbl_Accent_RGBs9224[R],$L155,1)</f>
        <v>115</v>
      </c>
      <c r="O155">
        <f>INDEX(tbl_Accent_RGBs9224[G],$L155,1)</f>
        <v>217</v>
      </c>
      <c r="P155">
        <f>INDEX(tbl_Accent_RGBs9224[B],$L155,1)</f>
        <v>245</v>
      </c>
      <c r="Q155" s="57">
        <v>0.5</v>
      </c>
      <c r="R155" t="str">
        <f t="shared" si="330"/>
        <v xml:space="preserve">    --b6-50: rgba(115, 217, 245, 0.5);</v>
      </c>
      <c r="S155" t="str">
        <f t="shared" si="331"/>
        <v xml:space="preserve">  .bg-b6-50{background-color: var(--b6-50);}</v>
      </c>
    </row>
    <row r="156" spans="2:19" x14ac:dyDescent="0.45">
      <c r="B156" s="27" t="s">
        <v>28</v>
      </c>
      <c r="C156" s="50">
        <f>VLOOKUP(B152,$B$3:$E$21,2,FALSE)</f>
        <v>115</v>
      </c>
      <c r="D156" s="50">
        <f>VLOOKUP(B152,$B$3:$E$21,3,FALSE)</f>
        <v>146</v>
      </c>
      <c r="E156" s="50">
        <f>VLOOKUP(B152,$B$3:$E$21,4,FALSE)</f>
        <v>245</v>
      </c>
      <c r="F156" s="47">
        <v>0</v>
      </c>
      <c r="H156" s="48" t="str">
        <f t="shared" ref="H156" si="335">LOWER(_xlfn.CONCAT("    --",B152,"-",B156,": rgba(",C156,", ",D156,", ",E156,", ","1.00",");"))</f>
        <v xml:space="preserve">    --b8-normal: rgba(115, 146, 245, 1.00);</v>
      </c>
      <c r="I156" s="48" t="str">
        <f t="shared" ref="I156" si="336">LOWER(_xlfn.CONCAT("  .color-",B152,"-",B156,"{","color: var(--",B152,"-",B156,");","}"))</f>
        <v xml:space="preserve">  .color-b8-normal{color: var(--b8-normal);}</v>
      </c>
      <c r="J156" s="48" t="str">
        <f t="shared" ref="J156" si="337">LOWER(_xlfn.CONCAT("  .bg-",B152,"-",B156,"{","background-color: var(--",B152,"-",B156,");","}"))</f>
        <v xml:space="preserve">  .bg-b8-normal{background-color: var(--b8-normal);}</v>
      </c>
      <c r="L156">
        <f t="shared" si="185"/>
        <v>15</v>
      </c>
      <c r="M156" t="str">
        <f>INDEX(tbl_Accent_RGBs9224[ID],L156,1)</f>
        <v>b6</v>
      </c>
      <c r="N156">
        <f>INDEX(tbl_Accent_RGBs9224[R],$L156,1)</f>
        <v>115</v>
      </c>
      <c r="O156">
        <f>INDEX(tbl_Accent_RGBs9224[G],$L156,1)</f>
        <v>217</v>
      </c>
      <c r="P156">
        <f>INDEX(tbl_Accent_RGBs9224[B],$L156,1)</f>
        <v>245</v>
      </c>
      <c r="Q156" s="57">
        <v>0.6</v>
      </c>
      <c r="R156" t="str">
        <f t="shared" si="330"/>
        <v xml:space="preserve">    --b6-60: rgba(115, 217, 245, 0.6);</v>
      </c>
      <c r="S156" t="str">
        <f t="shared" si="331"/>
        <v xml:space="preserve">  .bg-b6-60{background-color: var(--b6-60);}</v>
      </c>
    </row>
    <row r="157" spans="2:19" x14ac:dyDescent="0.45">
      <c r="B157" s="27" t="s">
        <v>29</v>
      </c>
      <c r="C157" s="48">
        <f>ROUND(C156*(1+F157),0)</f>
        <v>86</v>
      </c>
      <c r="D157" s="48">
        <f>ROUND(D156*(1+F157),0)</f>
        <v>110</v>
      </c>
      <c r="E157" s="48">
        <f>ROUND(E156*(1+F157),0)</f>
        <v>184</v>
      </c>
      <c r="F157" s="47">
        <v>-0.25</v>
      </c>
      <c r="H157" s="48" t="str">
        <f t="shared" ref="H157" si="338">LOWER(_xlfn.CONCAT("    --",B152,"-",B157,": rgba(",C157,", ",D157,", ",E157,", ","1.00",");"))</f>
        <v xml:space="preserve">    --b8-dark: rgba(86, 110, 184, 1.00);</v>
      </c>
      <c r="I157" s="48" t="str">
        <f t="shared" ref="I157" si="339">LOWER(_xlfn.CONCAT("  .color-",B152,"-",B157,"{","color: var(--",B152,"-",B157,");","}"))</f>
        <v xml:space="preserve">  .color-b8-dark{color: var(--b8-dark);}</v>
      </c>
      <c r="J157" s="48" t="str">
        <f t="shared" ref="J157" si="340">LOWER(_xlfn.CONCAT("  .bg-",B152,"-",B157,"{","background-color: var(--",B152,"-",B157,");","}"))</f>
        <v xml:space="preserve">  .bg-b8-dark{background-color: var(--b8-dark);}</v>
      </c>
      <c r="L157">
        <f t="shared" si="185"/>
        <v>15</v>
      </c>
      <c r="M157" t="str">
        <f>INDEX(tbl_Accent_RGBs9224[ID],L157,1)</f>
        <v>b6</v>
      </c>
      <c r="N157">
        <f>INDEX(tbl_Accent_RGBs9224[R],$L157,1)</f>
        <v>115</v>
      </c>
      <c r="O157">
        <f>INDEX(tbl_Accent_RGBs9224[G],$L157,1)</f>
        <v>217</v>
      </c>
      <c r="P157">
        <f>INDEX(tbl_Accent_RGBs9224[B],$L157,1)</f>
        <v>245</v>
      </c>
      <c r="Q157" s="57">
        <v>0.7</v>
      </c>
      <c r="R157" t="str">
        <f t="shared" si="330"/>
        <v xml:space="preserve">    --b6-70: rgba(115, 217, 245, 0.7);</v>
      </c>
      <c r="S157" t="str">
        <f t="shared" si="331"/>
        <v xml:space="preserve">  .bg-b6-70{background-color: var(--b6-70);}</v>
      </c>
    </row>
    <row r="158" spans="2:19" x14ac:dyDescent="0.45">
      <c r="B158" s="27" t="s">
        <v>30</v>
      </c>
      <c r="C158" s="48">
        <f>ROUND(C156*(1+F158),0)</f>
        <v>58</v>
      </c>
      <c r="D158" s="48">
        <f>ROUND(D156*(1+F158),0)</f>
        <v>73</v>
      </c>
      <c r="E158" s="48">
        <f>ROUND(E156*(1+F158),0)</f>
        <v>123</v>
      </c>
      <c r="F158" s="47">
        <v>-0.5</v>
      </c>
      <c r="H158" s="48" t="str">
        <f t="shared" ref="H158" si="341">LOWER(_xlfn.CONCAT("    --",B152,"-",B158,": rgba(",C158,", ",D158,", ",E158,", ","1.00",");"))</f>
        <v xml:space="preserve">    --b8-darker: rgba(58, 73, 123, 1.00);</v>
      </c>
      <c r="I158" s="48" t="str">
        <f t="shared" ref="I158" si="342">LOWER(_xlfn.CONCAT("  .color-",B152,"-",B158,"{","color: var(--",B152,"-",B158,");","}"))</f>
        <v xml:space="preserve">  .color-b8-darker{color: var(--b8-darker);}</v>
      </c>
      <c r="J158" s="48" t="str">
        <f t="shared" ref="J158" si="343">LOWER(_xlfn.CONCAT("  .bg-",B152,"-",B158,"{","background-color: var(--",B152,"-",B158,");","}"))</f>
        <v xml:space="preserve">  .bg-b8-darker{background-color: var(--b8-darker);}</v>
      </c>
      <c r="L158">
        <f t="shared" si="185"/>
        <v>15</v>
      </c>
      <c r="M158" t="str">
        <f>INDEX(tbl_Accent_RGBs9224[ID],L158,1)</f>
        <v>b6</v>
      </c>
      <c r="N158">
        <f>INDEX(tbl_Accent_RGBs9224[R],$L158,1)</f>
        <v>115</v>
      </c>
      <c r="O158">
        <f>INDEX(tbl_Accent_RGBs9224[G],$L158,1)</f>
        <v>217</v>
      </c>
      <c r="P158">
        <f>INDEX(tbl_Accent_RGBs9224[B],$L158,1)</f>
        <v>245</v>
      </c>
      <c r="Q158" s="57">
        <v>0.8</v>
      </c>
      <c r="R158" t="str">
        <f t="shared" si="330"/>
        <v xml:space="preserve">    --b6-80: rgba(115, 217, 245, 0.8);</v>
      </c>
      <c r="S158" t="str">
        <f t="shared" si="331"/>
        <v xml:space="preserve">  .bg-b6-80{background-color: var(--b6-80);}</v>
      </c>
    </row>
    <row r="159" spans="2:19" x14ac:dyDescent="0.45">
      <c r="B159" s="27" t="s">
        <v>31</v>
      </c>
      <c r="C159" s="48">
        <f>ROUND(C156*(1+F159),0)</f>
        <v>29</v>
      </c>
      <c r="D159" s="48">
        <f>ROUND(D156*(1+F159),0)</f>
        <v>37</v>
      </c>
      <c r="E159" s="48">
        <f>ROUND(E156*(1+F159),0)</f>
        <v>61</v>
      </c>
      <c r="F159" s="47">
        <v>-0.75</v>
      </c>
      <c r="H159" s="48" t="str">
        <f t="shared" ref="H159" si="344">LOWER(_xlfn.CONCAT("    --",B152,"-",B159,": rgba(",C159,", ",D159,", ",E159,", ","1.00",");"))</f>
        <v xml:space="preserve">    --b8-darkest: rgba(29, 37, 61, 1.00);</v>
      </c>
      <c r="I159" s="48" t="str">
        <f t="shared" ref="I159" si="345">LOWER(_xlfn.CONCAT("  .color-",B152,"-",B159,"{","color: var(--",B152,"-",B159,");","}"))</f>
        <v xml:space="preserve">  .color-b8-darkest{color: var(--b8-darkest);}</v>
      </c>
      <c r="J159" s="48" t="str">
        <f t="shared" ref="J159" si="346">LOWER(_xlfn.CONCAT("  .bg-",B152,"-",B159,"{","background-color: var(--",B152,"-",B159,");","}"))</f>
        <v xml:space="preserve">  .bg-b8-darkest{background-color: var(--b8-darkest);}</v>
      </c>
      <c r="L159">
        <f t="shared" si="185"/>
        <v>15</v>
      </c>
      <c r="M159" t="str">
        <f>INDEX(tbl_Accent_RGBs9224[ID],L159,1)</f>
        <v>b6</v>
      </c>
      <c r="N159">
        <f>INDEX(tbl_Accent_RGBs9224[R],$L159,1)</f>
        <v>115</v>
      </c>
      <c r="O159">
        <f>INDEX(tbl_Accent_RGBs9224[G],$L159,1)</f>
        <v>217</v>
      </c>
      <c r="P159">
        <f>INDEX(tbl_Accent_RGBs9224[B],$L159,1)</f>
        <v>245</v>
      </c>
      <c r="Q159" s="57">
        <v>0.9</v>
      </c>
      <c r="R159" t="str">
        <f t="shared" si="330"/>
        <v xml:space="preserve">    --b6-90: rgba(115, 217, 245, 0.9);</v>
      </c>
      <c r="S159" t="str">
        <f t="shared" si="331"/>
        <v xml:space="preserve">  .bg-b6-90{background-color: var(--b6-90);}</v>
      </c>
    </row>
    <row r="160" spans="2:19" x14ac:dyDescent="0.45">
      <c r="B160" s="46" t="s">
        <v>55</v>
      </c>
      <c r="C160" s="49" t="s">
        <v>33</v>
      </c>
      <c r="D160" s="49" t="s">
        <v>34</v>
      </c>
      <c r="E160" s="49" t="s">
        <v>35</v>
      </c>
      <c r="F160" s="49" t="s">
        <v>36</v>
      </c>
      <c r="H160" s="49"/>
      <c r="I160" s="49"/>
      <c r="J160" s="49"/>
      <c r="L160">
        <f t="shared" si="185"/>
        <v>16</v>
      </c>
      <c r="M160" t="str">
        <f>INDEX(tbl_Accent_RGBs9224[ID],L160,1)</f>
        <v>b7</v>
      </c>
      <c r="N160">
        <f>INDEX(tbl_Accent_RGBs9224[R],$L160,1)</f>
        <v>115</v>
      </c>
      <c r="O160">
        <f>INDEX(tbl_Accent_RGBs9224[G],$L160,1)</f>
        <v>192</v>
      </c>
      <c r="P160">
        <f>INDEX(tbl_Accent_RGBs9224[B],$L160,1)</f>
        <v>245</v>
      </c>
      <c r="Q160" s="57">
        <v>0.1</v>
      </c>
      <c r="R160" t="str">
        <f t="shared" si="330"/>
        <v xml:space="preserve">    --b7-10: rgba(115, 192, 245, 0.1);</v>
      </c>
      <c r="S160" t="str">
        <f t="shared" si="331"/>
        <v xml:space="preserve">  .bg-b7-10{background-color: var(--b7-10);}</v>
      </c>
    </row>
    <row r="161" spans="2:19" x14ac:dyDescent="0.45">
      <c r="B161" s="27" t="s">
        <v>25</v>
      </c>
      <c r="C161" s="48">
        <f>ROUND(255-((255-C164)*F161),0)</f>
        <v>228</v>
      </c>
      <c r="D161" s="48">
        <f>ROUND(255-((255-D164)*F161),0)</f>
        <v>220</v>
      </c>
      <c r="E161" s="48">
        <f>ROUND(255-((255-E164)*F161),0)</f>
        <v>253</v>
      </c>
      <c r="F161" s="47">
        <v>0.25</v>
      </c>
      <c r="H161" s="48" t="str">
        <f t="shared" ref="H161" si="347">LOWER(_xlfn.CONCAT("    --",B160,"-",B161,": rgba(",C161,", ",D161,", ",E161,", ","1.00",");"))</f>
        <v xml:space="preserve">    --b9-lightest: rgba(228, 220, 253, 1.00);</v>
      </c>
      <c r="I161" s="48" t="str">
        <f t="shared" ref="I161" si="348">LOWER(_xlfn.CONCAT("  .color-",B160,"-",B161,"{","color: var(--",B160,"-",B161,");","}"))</f>
        <v xml:space="preserve">  .color-b9-lightest{color: var(--b9-lightest);}</v>
      </c>
      <c r="J161" s="48" t="str">
        <f t="shared" ref="J161" si="349">LOWER(_xlfn.CONCAT("  .bg-",B160,"-",B161,"{","background-color: var(--",B160,"-",B161,");","}"))</f>
        <v xml:space="preserve">  .bg-b9-lightest{background-color: var(--b9-lightest);}</v>
      </c>
      <c r="L161">
        <f t="shared" si="185"/>
        <v>16</v>
      </c>
      <c r="M161" t="str">
        <f>INDEX(tbl_Accent_RGBs9224[ID],L161,1)</f>
        <v>b7</v>
      </c>
      <c r="N161">
        <f>INDEX(tbl_Accent_RGBs9224[R],$L161,1)</f>
        <v>115</v>
      </c>
      <c r="O161">
        <f>INDEX(tbl_Accent_RGBs9224[G],$L161,1)</f>
        <v>192</v>
      </c>
      <c r="P161">
        <f>INDEX(tbl_Accent_RGBs9224[B],$L161,1)</f>
        <v>245</v>
      </c>
      <c r="Q161" s="57">
        <v>0.2</v>
      </c>
      <c r="R161" t="str">
        <f t="shared" si="330"/>
        <v xml:space="preserve">    --b7-20: rgba(115, 192, 245, 0.2);</v>
      </c>
      <c r="S161" t="str">
        <f t="shared" si="331"/>
        <v xml:space="preserve">  .bg-b7-20{background-color: var(--b7-20);}</v>
      </c>
    </row>
    <row r="162" spans="2:19" x14ac:dyDescent="0.45">
      <c r="B162" s="27" t="s">
        <v>26</v>
      </c>
      <c r="C162" s="48">
        <f>ROUND(255-((255-C164)*F162),0)</f>
        <v>201</v>
      </c>
      <c r="D162" s="48">
        <f>ROUND(255-((255-D164)*F162),0)</f>
        <v>185</v>
      </c>
      <c r="E162" s="48">
        <f>ROUND(255-((255-E164)*F162),0)</f>
        <v>250</v>
      </c>
      <c r="F162" s="47">
        <v>0.5</v>
      </c>
      <c r="H162" s="48" t="str">
        <f t="shared" ref="H162" si="350">LOWER(_xlfn.CONCAT("    --",B160,"-",B162,": rgba(",C162,", ",D162,", ",E162,", ","1.00",");"))</f>
        <v xml:space="preserve">    --b9-lighter: rgba(201, 185, 250, 1.00);</v>
      </c>
      <c r="I162" s="48" t="str">
        <f t="shared" ref="I162" si="351">LOWER(_xlfn.CONCAT("  .color-",B160,"-",B162,"{","color: var(--",B160,"-",B162,");","}"))</f>
        <v xml:space="preserve">  .color-b9-lighter{color: var(--b9-lighter);}</v>
      </c>
      <c r="J162" s="48" t="str">
        <f t="shared" ref="J162" si="352">LOWER(_xlfn.CONCAT("  .bg-",B160,"-",B162,"{","background-color: var(--",B160,"-",B162,");","}"))</f>
        <v xml:space="preserve">  .bg-b9-lighter{background-color: var(--b9-lighter);}</v>
      </c>
      <c r="L162">
        <f t="shared" si="185"/>
        <v>16</v>
      </c>
      <c r="M162" t="str">
        <f>INDEX(tbl_Accent_RGBs9224[ID],L162,1)</f>
        <v>b7</v>
      </c>
      <c r="N162">
        <f>INDEX(tbl_Accent_RGBs9224[R],$L162,1)</f>
        <v>115</v>
      </c>
      <c r="O162">
        <f>INDEX(tbl_Accent_RGBs9224[G],$L162,1)</f>
        <v>192</v>
      </c>
      <c r="P162">
        <f>INDEX(tbl_Accent_RGBs9224[B],$L162,1)</f>
        <v>245</v>
      </c>
      <c r="Q162" s="57">
        <v>0.3</v>
      </c>
      <c r="R162" t="str">
        <f t="shared" si="330"/>
        <v xml:space="preserve">    --b7-30: rgba(115, 192, 245, 0.3);</v>
      </c>
      <c r="S162" t="str">
        <f t="shared" si="331"/>
        <v xml:space="preserve">  .bg-b7-30{background-color: var(--b7-30);}</v>
      </c>
    </row>
    <row r="163" spans="2:19" x14ac:dyDescent="0.45">
      <c r="B163" s="27" t="s">
        <v>27</v>
      </c>
      <c r="C163" s="48">
        <f>ROUND(255-((255-C164)*F163),0)</f>
        <v>173</v>
      </c>
      <c r="D163" s="48">
        <f>ROUND(255-((255-D164)*F163),0)</f>
        <v>150</v>
      </c>
      <c r="E163" s="48">
        <f>ROUND(255-((255-E164)*F163),0)</f>
        <v>248</v>
      </c>
      <c r="F163" s="47">
        <v>0.75</v>
      </c>
      <c r="H163" s="48" t="str">
        <f t="shared" ref="H163" si="353">LOWER(_xlfn.CONCAT("    --",B160,"-",B163,": rgba(",C163,", ",D163,", ",E163,", ","1.00",");"))</f>
        <v xml:space="preserve">    --b9-light: rgba(173, 150, 248, 1.00);</v>
      </c>
      <c r="I163" s="48" t="str">
        <f t="shared" ref="I163" si="354">LOWER(_xlfn.CONCAT("  .color-",B160,"-",B163,"{","color: var(--",B160,"-",B163,");","}"))</f>
        <v xml:space="preserve">  .color-b9-light{color: var(--b9-light);}</v>
      </c>
      <c r="J163" s="48" t="str">
        <f t="shared" ref="J163" si="355">LOWER(_xlfn.CONCAT("  .bg-",B160,"-",B163,"{","background-color: var(--",B160,"-",B163,");","}"))</f>
        <v xml:space="preserve">  .bg-b9-light{background-color: var(--b9-light);}</v>
      </c>
      <c r="L163">
        <f t="shared" ref="L163:L167" si="356">L154+1</f>
        <v>16</v>
      </c>
      <c r="M163" t="str">
        <f>INDEX(tbl_Accent_RGBs9224[ID],L163,1)</f>
        <v>b7</v>
      </c>
      <c r="N163">
        <f>INDEX(tbl_Accent_RGBs9224[R],$L163,1)</f>
        <v>115</v>
      </c>
      <c r="O163">
        <f>INDEX(tbl_Accent_RGBs9224[G],$L163,1)</f>
        <v>192</v>
      </c>
      <c r="P163">
        <f>INDEX(tbl_Accent_RGBs9224[B],$L163,1)</f>
        <v>245</v>
      </c>
      <c r="Q163" s="57">
        <v>0.4</v>
      </c>
      <c r="R163" t="str">
        <f t="shared" si="330"/>
        <v xml:space="preserve">    --b7-40: rgba(115, 192, 245, 0.4);</v>
      </c>
      <c r="S163" t="str">
        <f t="shared" si="331"/>
        <v xml:space="preserve">  .bg-b7-40{background-color: var(--b7-40);}</v>
      </c>
    </row>
    <row r="164" spans="2:19" x14ac:dyDescent="0.45">
      <c r="B164" s="27" t="s">
        <v>28</v>
      </c>
      <c r="C164" s="50">
        <f>VLOOKUP(B160,$B$3:$E$21,2,FALSE)</f>
        <v>146</v>
      </c>
      <c r="D164" s="50">
        <f>VLOOKUP(B160,$B$3:$E$21,3,FALSE)</f>
        <v>115</v>
      </c>
      <c r="E164" s="50">
        <f>VLOOKUP(B160,$B$3:$E$21,4,FALSE)</f>
        <v>245</v>
      </c>
      <c r="F164" s="47">
        <v>0</v>
      </c>
      <c r="H164" s="48" t="str">
        <f t="shared" ref="H164" si="357">LOWER(_xlfn.CONCAT("    --",B160,"-",B164,": rgba(",C164,", ",D164,", ",E164,", ","1.00",");"))</f>
        <v xml:space="preserve">    --b9-normal: rgba(146, 115, 245, 1.00);</v>
      </c>
      <c r="I164" s="48" t="str">
        <f t="shared" ref="I164" si="358">LOWER(_xlfn.CONCAT("  .color-",B160,"-",B164,"{","color: var(--",B160,"-",B164,");","}"))</f>
        <v xml:space="preserve">  .color-b9-normal{color: var(--b9-normal);}</v>
      </c>
      <c r="J164" s="48" t="str">
        <f t="shared" ref="J164" si="359">LOWER(_xlfn.CONCAT("  .bg-",B160,"-",B164,"{","background-color: var(--",B160,"-",B164,");","}"))</f>
        <v xml:space="preserve">  .bg-b9-normal{background-color: var(--b9-normal);}</v>
      </c>
      <c r="L164">
        <f t="shared" si="356"/>
        <v>16</v>
      </c>
      <c r="M164" t="str">
        <f>INDEX(tbl_Accent_RGBs9224[ID],L164,1)</f>
        <v>b7</v>
      </c>
      <c r="N164">
        <f>INDEX(tbl_Accent_RGBs9224[R],$L164,1)</f>
        <v>115</v>
      </c>
      <c r="O164">
        <f>INDEX(tbl_Accent_RGBs9224[G],$L164,1)</f>
        <v>192</v>
      </c>
      <c r="P164">
        <f>INDEX(tbl_Accent_RGBs9224[B],$L164,1)</f>
        <v>245</v>
      </c>
      <c r="Q164" s="57">
        <v>0.5</v>
      </c>
      <c r="R164" t="str">
        <f t="shared" si="330"/>
        <v xml:space="preserve">    --b7-50: rgba(115, 192, 245, 0.5);</v>
      </c>
      <c r="S164" t="str">
        <f t="shared" si="331"/>
        <v xml:space="preserve">  .bg-b7-50{background-color: var(--b7-50);}</v>
      </c>
    </row>
    <row r="165" spans="2:19" x14ac:dyDescent="0.45">
      <c r="B165" s="27" t="s">
        <v>29</v>
      </c>
      <c r="C165" s="48">
        <f>ROUND(C164*(1+F165),0)</f>
        <v>110</v>
      </c>
      <c r="D165" s="48">
        <f>ROUND(D164*(1+F165),0)</f>
        <v>86</v>
      </c>
      <c r="E165" s="48">
        <f>ROUND(E164*(1+F165),0)</f>
        <v>184</v>
      </c>
      <c r="F165" s="47">
        <v>-0.25</v>
      </c>
      <c r="H165" s="48" t="str">
        <f t="shared" ref="H165" si="360">LOWER(_xlfn.CONCAT("    --",B160,"-",B165,": rgba(",C165,", ",D165,", ",E165,", ","1.00",");"))</f>
        <v xml:space="preserve">    --b9-dark: rgba(110, 86, 184, 1.00);</v>
      </c>
      <c r="I165" s="48" t="str">
        <f t="shared" ref="I165" si="361">LOWER(_xlfn.CONCAT("  .color-",B160,"-",B165,"{","color: var(--",B160,"-",B165,");","}"))</f>
        <v xml:space="preserve">  .color-b9-dark{color: var(--b9-dark);}</v>
      </c>
      <c r="J165" s="48" t="str">
        <f t="shared" ref="J165" si="362">LOWER(_xlfn.CONCAT("  .bg-",B160,"-",B165,"{","background-color: var(--",B160,"-",B165,");","}"))</f>
        <v xml:space="preserve">  .bg-b9-dark{background-color: var(--b9-dark);}</v>
      </c>
      <c r="L165">
        <f t="shared" si="356"/>
        <v>16</v>
      </c>
      <c r="M165" t="str">
        <f>INDEX(tbl_Accent_RGBs9224[ID],L165,1)</f>
        <v>b7</v>
      </c>
      <c r="N165">
        <f>INDEX(tbl_Accent_RGBs9224[R],$L165,1)</f>
        <v>115</v>
      </c>
      <c r="O165">
        <f>INDEX(tbl_Accent_RGBs9224[G],$L165,1)</f>
        <v>192</v>
      </c>
      <c r="P165">
        <f>INDEX(tbl_Accent_RGBs9224[B],$L165,1)</f>
        <v>245</v>
      </c>
      <c r="Q165" s="57">
        <v>0.6</v>
      </c>
      <c r="R165" t="str">
        <f t="shared" si="330"/>
        <v xml:space="preserve">    --b7-60: rgba(115, 192, 245, 0.6);</v>
      </c>
      <c r="S165" t="str">
        <f t="shared" si="331"/>
        <v xml:space="preserve">  .bg-b7-60{background-color: var(--b7-60);}</v>
      </c>
    </row>
    <row r="166" spans="2:19" x14ac:dyDescent="0.45">
      <c r="B166" s="27" t="s">
        <v>30</v>
      </c>
      <c r="C166" s="48">
        <f>ROUND(C164*(1+F166),0)</f>
        <v>73</v>
      </c>
      <c r="D166" s="48">
        <f>ROUND(D164*(1+F166),0)</f>
        <v>58</v>
      </c>
      <c r="E166" s="48">
        <f>ROUND(E164*(1+F166),0)</f>
        <v>123</v>
      </c>
      <c r="F166" s="47">
        <v>-0.5</v>
      </c>
      <c r="H166" s="48" t="str">
        <f t="shared" ref="H166" si="363">LOWER(_xlfn.CONCAT("    --",B160,"-",B166,": rgba(",C166,", ",D166,", ",E166,", ","1.00",");"))</f>
        <v xml:space="preserve">    --b9-darker: rgba(73, 58, 123, 1.00);</v>
      </c>
      <c r="I166" s="48" t="str">
        <f t="shared" ref="I166" si="364">LOWER(_xlfn.CONCAT("  .color-",B160,"-",B166,"{","color: var(--",B160,"-",B166,");","}"))</f>
        <v xml:space="preserve">  .color-b9-darker{color: var(--b9-darker);}</v>
      </c>
      <c r="J166" s="48" t="str">
        <f t="shared" ref="J166" si="365">LOWER(_xlfn.CONCAT("  .bg-",B160,"-",B166,"{","background-color: var(--",B160,"-",B166,");","}"))</f>
        <v xml:space="preserve">  .bg-b9-darker{background-color: var(--b9-darker);}</v>
      </c>
      <c r="L166">
        <f t="shared" si="356"/>
        <v>16</v>
      </c>
      <c r="M166" t="str">
        <f>INDEX(tbl_Accent_RGBs9224[ID],L166,1)</f>
        <v>b7</v>
      </c>
      <c r="N166">
        <f>INDEX(tbl_Accent_RGBs9224[R],$L166,1)</f>
        <v>115</v>
      </c>
      <c r="O166">
        <f>INDEX(tbl_Accent_RGBs9224[G],$L166,1)</f>
        <v>192</v>
      </c>
      <c r="P166">
        <f>INDEX(tbl_Accent_RGBs9224[B],$L166,1)</f>
        <v>245</v>
      </c>
      <c r="Q166" s="57">
        <v>0.7</v>
      </c>
      <c r="R166" t="str">
        <f t="shared" si="330"/>
        <v xml:space="preserve">    --b7-70: rgba(115, 192, 245, 0.7);</v>
      </c>
      <c r="S166" t="str">
        <f t="shared" si="331"/>
        <v xml:space="preserve">  .bg-b7-70{background-color: var(--b7-70);}</v>
      </c>
    </row>
    <row r="167" spans="2:19" x14ac:dyDescent="0.45">
      <c r="B167" s="27" t="s">
        <v>31</v>
      </c>
      <c r="C167" s="48">
        <f>ROUND(C164*(1+F167),0)</f>
        <v>37</v>
      </c>
      <c r="D167" s="48">
        <f>ROUND(D164*(1+F167),0)</f>
        <v>29</v>
      </c>
      <c r="E167" s="48">
        <f>ROUND(E164*(1+F167),0)</f>
        <v>61</v>
      </c>
      <c r="F167" s="47">
        <v>-0.75</v>
      </c>
      <c r="H167" s="48" t="str">
        <f t="shared" ref="H167" si="366">LOWER(_xlfn.CONCAT("    --",B160,"-",B167,": rgba(",C167,", ",D167,", ",E167,", ","1.00",");"))</f>
        <v xml:space="preserve">    --b9-darkest: rgba(37, 29, 61, 1.00);</v>
      </c>
      <c r="I167" s="48" t="str">
        <f t="shared" ref="I167" si="367">LOWER(_xlfn.CONCAT("  .color-",B160,"-",B167,"{","color: var(--",B160,"-",B167,");","}"))</f>
        <v xml:space="preserve">  .color-b9-darkest{color: var(--b9-darkest);}</v>
      </c>
      <c r="J167" s="48" t="str">
        <f t="shared" ref="J167" si="368">LOWER(_xlfn.CONCAT("  .bg-",B160,"-",B167,"{","background-color: var(--",B160,"-",B167,");","}"))</f>
        <v xml:space="preserve">  .bg-b9-darkest{background-color: var(--b9-darkest);}</v>
      </c>
      <c r="L167">
        <f t="shared" si="356"/>
        <v>16</v>
      </c>
      <c r="M167" t="str">
        <f>INDEX(tbl_Accent_RGBs9224[ID],L167,1)</f>
        <v>b7</v>
      </c>
      <c r="N167">
        <f>INDEX(tbl_Accent_RGBs9224[R],$L167,1)</f>
        <v>115</v>
      </c>
      <c r="O167">
        <f>INDEX(tbl_Accent_RGBs9224[G],$L167,1)</f>
        <v>192</v>
      </c>
      <c r="P167">
        <f>INDEX(tbl_Accent_RGBs9224[B],$L167,1)</f>
        <v>245</v>
      </c>
      <c r="Q167" s="57">
        <v>0.8</v>
      </c>
      <c r="R167" t="str">
        <f t="shared" si="330"/>
        <v xml:space="preserve">    --b7-80: rgba(115, 192, 245, 0.8);</v>
      </c>
      <c r="S167" t="str">
        <f t="shared" si="331"/>
        <v xml:space="preserve">  .bg-b7-80{background-color: var(--b7-80);}</v>
      </c>
    </row>
    <row r="168" spans="2:19" x14ac:dyDescent="0.45">
      <c r="L168">
        <f>L159+1</f>
        <v>16</v>
      </c>
      <c r="M168" t="str">
        <f>INDEX(tbl_Accent_RGBs9224[ID],L168,1)</f>
        <v>b7</v>
      </c>
      <c r="N168">
        <f>INDEX(tbl_Accent_RGBs9224[R],$L168,1)</f>
        <v>115</v>
      </c>
      <c r="O168">
        <f>INDEX(tbl_Accent_RGBs9224[G],$L168,1)</f>
        <v>192</v>
      </c>
      <c r="P168">
        <f>INDEX(tbl_Accent_RGBs9224[B],$L168,1)</f>
        <v>245</v>
      </c>
      <c r="Q168" s="57">
        <v>0.9</v>
      </c>
      <c r="R168" t="str">
        <f t="shared" si="330"/>
        <v xml:space="preserve">    --b7-90: rgba(115, 192, 245, 0.9);</v>
      </c>
      <c r="S168" t="str">
        <f t="shared" si="331"/>
        <v xml:space="preserve">  .bg-b7-90{background-color: var(--b7-90);}</v>
      </c>
    </row>
    <row r="169" spans="2:19" x14ac:dyDescent="0.45">
      <c r="L169">
        <f t="shared" ref="L169:L175" si="369">L160+1</f>
        <v>17</v>
      </c>
      <c r="M169" t="str">
        <f>INDEX(tbl_Accent_RGBs9224[ID],L169,1)</f>
        <v>b8</v>
      </c>
      <c r="N169">
        <f>INDEX(tbl_Accent_RGBs9224[R],$L169,1)</f>
        <v>115</v>
      </c>
      <c r="O169">
        <f>INDEX(tbl_Accent_RGBs9224[G],$L169,1)</f>
        <v>146</v>
      </c>
      <c r="P169">
        <f>INDEX(tbl_Accent_RGBs9224[B],$L169,1)</f>
        <v>245</v>
      </c>
      <c r="Q169" s="57">
        <v>0.1</v>
      </c>
      <c r="R169" t="str">
        <f t="shared" si="330"/>
        <v xml:space="preserve">    --b8-10: rgba(115, 146, 245, 0.1);</v>
      </c>
      <c r="S169" t="str">
        <f t="shared" si="331"/>
        <v xml:space="preserve">  .bg-b8-10{background-color: var(--b8-10);}</v>
      </c>
    </row>
    <row r="170" spans="2:19" x14ac:dyDescent="0.45">
      <c r="L170">
        <f t="shared" si="369"/>
        <v>17</v>
      </c>
      <c r="M170" t="str">
        <f>INDEX(tbl_Accent_RGBs9224[ID],L170,1)</f>
        <v>b8</v>
      </c>
      <c r="N170">
        <f>INDEX(tbl_Accent_RGBs9224[R],$L170,1)</f>
        <v>115</v>
      </c>
      <c r="O170">
        <f>INDEX(tbl_Accent_RGBs9224[G],$L170,1)</f>
        <v>146</v>
      </c>
      <c r="P170">
        <f>INDEX(tbl_Accent_RGBs9224[B],$L170,1)</f>
        <v>245</v>
      </c>
      <c r="Q170" s="57">
        <v>0.2</v>
      </c>
      <c r="R170" t="str">
        <f t="shared" si="330"/>
        <v xml:space="preserve">    --b8-20: rgba(115, 146, 245, 0.2);</v>
      </c>
      <c r="S170" t="str">
        <f t="shared" si="331"/>
        <v xml:space="preserve">  .bg-b8-20{background-color: var(--b8-20);}</v>
      </c>
    </row>
    <row r="171" spans="2:19" x14ac:dyDescent="0.45">
      <c r="L171">
        <f t="shared" si="369"/>
        <v>17</v>
      </c>
      <c r="M171" t="str">
        <f>INDEX(tbl_Accent_RGBs9224[ID],L171,1)</f>
        <v>b8</v>
      </c>
      <c r="N171">
        <f>INDEX(tbl_Accent_RGBs9224[R],$L171,1)</f>
        <v>115</v>
      </c>
      <c r="O171">
        <f>INDEX(tbl_Accent_RGBs9224[G],$L171,1)</f>
        <v>146</v>
      </c>
      <c r="P171">
        <f>INDEX(tbl_Accent_RGBs9224[B],$L171,1)</f>
        <v>245</v>
      </c>
      <c r="Q171" s="57">
        <v>0.3</v>
      </c>
      <c r="R171" t="str">
        <f t="shared" si="330"/>
        <v xml:space="preserve">    --b8-30: rgba(115, 146, 245, 0.3);</v>
      </c>
      <c r="S171" t="str">
        <f t="shared" si="331"/>
        <v xml:space="preserve">  .bg-b8-30{background-color: var(--b8-30);}</v>
      </c>
    </row>
    <row r="172" spans="2:19" x14ac:dyDescent="0.45">
      <c r="L172">
        <f t="shared" si="369"/>
        <v>17</v>
      </c>
      <c r="M172" t="str">
        <f>INDEX(tbl_Accent_RGBs9224[ID],L172,1)</f>
        <v>b8</v>
      </c>
      <c r="N172">
        <f>INDEX(tbl_Accent_RGBs9224[R],$L172,1)</f>
        <v>115</v>
      </c>
      <c r="O172">
        <f>INDEX(tbl_Accent_RGBs9224[G],$L172,1)</f>
        <v>146</v>
      </c>
      <c r="P172">
        <f>INDEX(tbl_Accent_RGBs9224[B],$L172,1)</f>
        <v>245</v>
      </c>
      <c r="Q172" s="57">
        <v>0.4</v>
      </c>
      <c r="R172" t="str">
        <f t="shared" si="330"/>
        <v xml:space="preserve">    --b8-40: rgba(115, 146, 245, 0.4);</v>
      </c>
      <c r="S172" t="str">
        <f t="shared" si="331"/>
        <v xml:space="preserve">  .bg-b8-40{background-color: var(--b8-40);}</v>
      </c>
    </row>
    <row r="173" spans="2:19" x14ac:dyDescent="0.45">
      <c r="L173">
        <f t="shared" si="369"/>
        <v>17</v>
      </c>
      <c r="M173" t="str">
        <f>INDEX(tbl_Accent_RGBs9224[ID],L173,1)</f>
        <v>b8</v>
      </c>
      <c r="N173">
        <f>INDEX(tbl_Accent_RGBs9224[R],$L173,1)</f>
        <v>115</v>
      </c>
      <c r="O173">
        <f>INDEX(tbl_Accent_RGBs9224[G],$L173,1)</f>
        <v>146</v>
      </c>
      <c r="P173">
        <f>INDEX(tbl_Accent_RGBs9224[B],$L173,1)</f>
        <v>245</v>
      </c>
      <c r="Q173" s="57">
        <v>0.5</v>
      </c>
      <c r="R173" t="str">
        <f t="shared" si="330"/>
        <v xml:space="preserve">    --b8-50: rgba(115, 146, 245, 0.5);</v>
      </c>
      <c r="S173" t="str">
        <f t="shared" si="331"/>
        <v xml:space="preserve">  .bg-b8-50{background-color: var(--b8-50);}</v>
      </c>
    </row>
    <row r="174" spans="2:19" x14ac:dyDescent="0.45">
      <c r="L174">
        <f t="shared" si="369"/>
        <v>17</v>
      </c>
      <c r="M174" t="str">
        <f>INDEX(tbl_Accent_RGBs9224[ID],L174,1)</f>
        <v>b8</v>
      </c>
      <c r="N174">
        <f>INDEX(tbl_Accent_RGBs9224[R],$L174,1)</f>
        <v>115</v>
      </c>
      <c r="O174">
        <f>INDEX(tbl_Accent_RGBs9224[G],$L174,1)</f>
        <v>146</v>
      </c>
      <c r="P174">
        <f>INDEX(tbl_Accent_RGBs9224[B],$L174,1)</f>
        <v>245</v>
      </c>
      <c r="Q174" s="57">
        <v>0.6</v>
      </c>
      <c r="R174" t="str">
        <f t="shared" si="330"/>
        <v xml:space="preserve">    --b8-60: rgba(115, 146, 245, 0.6);</v>
      </c>
      <c r="S174" t="str">
        <f t="shared" si="331"/>
        <v xml:space="preserve">  .bg-b8-60{background-color: var(--b8-60);}</v>
      </c>
    </row>
    <row r="175" spans="2:19" x14ac:dyDescent="0.45">
      <c r="L175">
        <f t="shared" si="369"/>
        <v>17</v>
      </c>
      <c r="M175" t="str">
        <f>INDEX(tbl_Accent_RGBs9224[ID],L175,1)</f>
        <v>b8</v>
      </c>
      <c r="N175">
        <f>INDEX(tbl_Accent_RGBs9224[R],$L175,1)</f>
        <v>115</v>
      </c>
      <c r="O175">
        <f>INDEX(tbl_Accent_RGBs9224[G],$L175,1)</f>
        <v>146</v>
      </c>
      <c r="P175">
        <f>INDEX(tbl_Accent_RGBs9224[B],$L175,1)</f>
        <v>245</v>
      </c>
      <c r="Q175" s="57">
        <v>0.7</v>
      </c>
      <c r="R175" t="str">
        <f t="shared" si="330"/>
        <v xml:space="preserve">    --b8-70: rgba(115, 146, 245, 0.7);</v>
      </c>
      <c r="S175" t="str">
        <f t="shared" si="331"/>
        <v xml:space="preserve">  .bg-b8-70{background-color: var(--b8-70);}</v>
      </c>
    </row>
    <row r="176" spans="2:19" x14ac:dyDescent="0.45">
      <c r="L176">
        <f>L167+1</f>
        <v>17</v>
      </c>
      <c r="M176" t="str">
        <f>INDEX(tbl_Accent_RGBs9224[ID],L176,1)</f>
        <v>b8</v>
      </c>
      <c r="N176">
        <f>INDEX(tbl_Accent_RGBs9224[R],$L176,1)</f>
        <v>115</v>
      </c>
      <c r="O176">
        <f>INDEX(tbl_Accent_RGBs9224[G],$L176,1)</f>
        <v>146</v>
      </c>
      <c r="P176">
        <f>INDEX(tbl_Accent_RGBs9224[B],$L176,1)</f>
        <v>245</v>
      </c>
      <c r="Q176" s="57">
        <v>0.8</v>
      </c>
      <c r="R176" t="str">
        <f t="shared" si="330"/>
        <v xml:space="preserve">    --b8-80: rgba(115, 146, 245, 0.8);</v>
      </c>
      <c r="S176" t="str">
        <f t="shared" si="331"/>
        <v xml:space="preserve">  .bg-b8-80{background-color: var(--b8-80);}</v>
      </c>
    </row>
    <row r="177" spans="6:19" x14ac:dyDescent="0.45">
      <c r="L177">
        <f t="shared" ref="L177:L182" si="370">L168+1</f>
        <v>17</v>
      </c>
      <c r="M177" t="str">
        <f>INDEX(tbl_Accent_RGBs9224[ID],L177,1)</f>
        <v>b8</v>
      </c>
      <c r="N177">
        <f>INDEX(tbl_Accent_RGBs9224[R],$L177,1)</f>
        <v>115</v>
      </c>
      <c r="O177">
        <f>INDEX(tbl_Accent_RGBs9224[G],$L177,1)</f>
        <v>146</v>
      </c>
      <c r="P177">
        <f>INDEX(tbl_Accent_RGBs9224[B],$L177,1)</f>
        <v>245</v>
      </c>
      <c r="Q177" s="57">
        <v>0.9</v>
      </c>
      <c r="R177" t="str">
        <f t="shared" si="330"/>
        <v xml:space="preserve">    --b8-90: rgba(115, 146, 245, 0.9);</v>
      </c>
      <c r="S177" t="str">
        <f t="shared" si="331"/>
        <v xml:space="preserve">  .bg-b8-90{background-color: var(--b8-90);}</v>
      </c>
    </row>
    <row r="178" spans="6:19" x14ac:dyDescent="0.45">
      <c r="L178">
        <f t="shared" si="370"/>
        <v>18</v>
      </c>
      <c r="M178" t="str">
        <f>INDEX(tbl_Accent_RGBs9224[ID],L178,1)</f>
        <v>b9</v>
      </c>
      <c r="N178">
        <f>INDEX(tbl_Accent_RGBs9224[R],$L178,1)</f>
        <v>146</v>
      </c>
      <c r="O178">
        <f>INDEX(tbl_Accent_RGBs9224[G],$L178,1)</f>
        <v>115</v>
      </c>
      <c r="P178">
        <f>INDEX(tbl_Accent_RGBs9224[B],$L178,1)</f>
        <v>245</v>
      </c>
      <c r="Q178" s="57">
        <v>0.1</v>
      </c>
      <c r="R178" t="str">
        <f t="shared" si="330"/>
        <v xml:space="preserve">    --b9-10: rgba(146, 115, 245, 0.1);</v>
      </c>
      <c r="S178" t="str">
        <f t="shared" si="331"/>
        <v xml:space="preserve">  .bg-b9-10{background-color: var(--b9-10);}</v>
      </c>
    </row>
    <row r="179" spans="6:19" x14ac:dyDescent="0.45">
      <c r="L179">
        <f t="shared" si="370"/>
        <v>18</v>
      </c>
      <c r="M179" t="str">
        <f>INDEX(tbl_Accent_RGBs9224[ID],L179,1)</f>
        <v>b9</v>
      </c>
      <c r="N179">
        <f>INDEX(tbl_Accent_RGBs9224[R],$L179,1)</f>
        <v>146</v>
      </c>
      <c r="O179">
        <f>INDEX(tbl_Accent_RGBs9224[G],$L179,1)</f>
        <v>115</v>
      </c>
      <c r="P179">
        <f>INDEX(tbl_Accent_RGBs9224[B],$L179,1)</f>
        <v>245</v>
      </c>
      <c r="Q179" s="57">
        <v>0.2</v>
      </c>
      <c r="R179" t="str">
        <f t="shared" si="330"/>
        <v xml:space="preserve">    --b9-20: rgba(146, 115, 245, 0.2);</v>
      </c>
      <c r="S179" t="str">
        <f t="shared" si="331"/>
        <v xml:space="preserve">  .bg-b9-20{background-color: var(--b9-20);}</v>
      </c>
    </row>
    <row r="180" spans="6:19" x14ac:dyDescent="0.45">
      <c r="L180">
        <f t="shared" si="370"/>
        <v>18</v>
      </c>
      <c r="M180" t="str">
        <f>INDEX(tbl_Accent_RGBs9224[ID],L180,1)</f>
        <v>b9</v>
      </c>
      <c r="N180">
        <f>INDEX(tbl_Accent_RGBs9224[R],$L180,1)</f>
        <v>146</v>
      </c>
      <c r="O180">
        <f>INDEX(tbl_Accent_RGBs9224[G],$L180,1)</f>
        <v>115</v>
      </c>
      <c r="P180">
        <f>INDEX(tbl_Accent_RGBs9224[B],$L180,1)</f>
        <v>245</v>
      </c>
      <c r="Q180" s="57">
        <v>0.3</v>
      </c>
      <c r="R180" t="str">
        <f t="shared" si="330"/>
        <v xml:space="preserve">    --b9-30: rgba(146, 115, 245, 0.3);</v>
      </c>
      <c r="S180" t="str">
        <f t="shared" si="331"/>
        <v xml:space="preserve">  .bg-b9-30{background-color: var(--b9-30);}</v>
      </c>
    </row>
    <row r="181" spans="6:19" x14ac:dyDescent="0.45">
      <c r="L181">
        <f t="shared" si="370"/>
        <v>18</v>
      </c>
      <c r="M181" t="str">
        <f>INDEX(tbl_Accent_RGBs9224[ID],L181,1)</f>
        <v>b9</v>
      </c>
      <c r="N181">
        <f>INDEX(tbl_Accent_RGBs9224[R],$L181,1)</f>
        <v>146</v>
      </c>
      <c r="O181">
        <f>INDEX(tbl_Accent_RGBs9224[G],$L181,1)</f>
        <v>115</v>
      </c>
      <c r="P181">
        <f>INDEX(tbl_Accent_RGBs9224[B],$L181,1)</f>
        <v>245</v>
      </c>
      <c r="Q181" s="57">
        <v>0.4</v>
      </c>
      <c r="R181" t="str">
        <f t="shared" si="330"/>
        <v xml:space="preserve">    --b9-40: rgba(146, 115, 245, 0.4);</v>
      </c>
      <c r="S181" t="str">
        <f t="shared" si="331"/>
        <v xml:space="preserve">  .bg-b9-40{background-color: var(--b9-40);}</v>
      </c>
    </row>
    <row r="182" spans="6:19" x14ac:dyDescent="0.45">
      <c r="L182">
        <f t="shared" si="370"/>
        <v>18</v>
      </c>
      <c r="M182" t="str">
        <f>INDEX(tbl_Accent_RGBs9224[ID],L182,1)</f>
        <v>b9</v>
      </c>
      <c r="N182">
        <f>INDEX(tbl_Accent_RGBs9224[R],$L182,1)</f>
        <v>146</v>
      </c>
      <c r="O182">
        <f>INDEX(tbl_Accent_RGBs9224[G],$L182,1)</f>
        <v>115</v>
      </c>
      <c r="P182">
        <f>INDEX(tbl_Accent_RGBs9224[B],$L182,1)</f>
        <v>245</v>
      </c>
      <c r="Q182" s="57">
        <v>0.5</v>
      </c>
      <c r="R182" t="str">
        <f t="shared" si="330"/>
        <v xml:space="preserve">    --b9-50: rgba(146, 115, 245, 0.5);</v>
      </c>
      <c r="S182" t="str">
        <f t="shared" si="331"/>
        <v xml:space="preserve">  .bg-b9-50{background-color: var(--b9-50);}</v>
      </c>
    </row>
    <row r="183" spans="6:19" x14ac:dyDescent="0.45">
      <c r="L183">
        <f>L174+1</f>
        <v>18</v>
      </c>
      <c r="M183" t="str">
        <f>INDEX(tbl_Accent_RGBs9224[ID],L183,1)</f>
        <v>b9</v>
      </c>
      <c r="N183">
        <f>INDEX(tbl_Accent_RGBs9224[R],$L183,1)</f>
        <v>146</v>
      </c>
      <c r="O183">
        <f>INDEX(tbl_Accent_RGBs9224[G],$L183,1)</f>
        <v>115</v>
      </c>
      <c r="P183">
        <f>INDEX(tbl_Accent_RGBs9224[B],$L183,1)</f>
        <v>245</v>
      </c>
      <c r="Q183" s="57">
        <v>0.6</v>
      </c>
      <c r="R183" t="str">
        <f t="shared" si="330"/>
        <v xml:space="preserve">    --b9-60: rgba(146, 115, 245, 0.6);</v>
      </c>
      <c r="S183" t="str">
        <f t="shared" si="331"/>
        <v xml:space="preserve">  .bg-b9-60{background-color: var(--b9-60);}</v>
      </c>
    </row>
    <row r="184" spans="6:19" x14ac:dyDescent="0.45">
      <c r="L184">
        <f t="shared" ref="L184:L185" si="371">L175+1</f>
        <v>18</v>
      </c>
      <c r="M184" t="str">
        <f>INDEX(tbl_Accent_RGBs9224[ID],L184,1)</f>
        <v>b9</v>
      </c>
      <c r="N184">
        <f>INDEX(tbl_Accent_RGBs9224[R],$L184,1)</f>
        <v>146</v>
      </c>
      <c r="O184">
        <f>INDEX(tbl_Accent_RGBs9224[G],$L184,1)</f>
        <v>115</v>
      </c>
      <c r="P184">
        <f>INDEX(tbl_Accent_RGBs9224[B],$L184,1)</f>
        <v>245</v>
      </c>
      <c r="Q184" s="57">
        <v>0.7</v>
      </c>
      <c r="R184" t="str">
        <f t="shared" si="330"/>
        <v xml:space="preserve">    --b9-70: rgba(146, 115, 245, 0.7);</v>
      </c>
      <c r="S184" t="str">
        <f t="shared" si="331"/>
        <v xml:space="preserve">  .bg-b9-70{background-color: var(--b9-70);}</v>
      </c>
    </row>
    <row r="185" spans="6:19" x14ac:dyDescent="0.45">
      <c r="L185">
        <f t="shared" si="371"/>
        <v>18</v>
      </c>
      <c r="M185" t="str">
        <f>INDEX(tbl_Accent_RGBs9224[ID],L185,1)</f>
        <v>b9</v>
      </c>
      <c r="N185">
        <f>INDEX(tbl_Accent_RGBs9224[R],$L185,1)</f>
        <v>146</v>
      </c>
      <c r="O185">
        <f>INDEX(tbl_Accent_RGBs9224[G],$L185,1)</f>
        <v>115</v>
      </c>
      <c r="P185">
        <f>INDEX(tbl_Accent_RGBs9224[B],$L185,1)</f>
        <v>245</v>
      </c>
      <c r="Q185" s="57">
        <v>0.8</v>
      </c>
      <c r="R185" t="str">
        <f t="shared" si="330"/>
        <v xml:space="preserve">    --b9-80: rgba(146, 115, 245, 0.8);</v>
      </c>
      <c r="S185" t="str">
        <f t="shared" si="331"/>
        <v xml:space="preserve">  .bg-b9-80{background-color: var(--b9-80);}</v>
      </c>
    </row>
    <row r="186" spans="6:19" x14ac:dyDescent="0.45">
      <c r="L186">
        <f>L177+1</f>
        <v>18</v>
      </c>
      <c r="M186" t="str">
        <f>INDEX(tbl_Accent_RGBs9224[ID],L186,1)</f>
        <v>b9</v>
      </c>
      <c r="N186">
        <f>INDEX(tbl_Accent_RGBs9224[R],$L186,1)</f>
        <v>146</v>
      </c>
      <c r="O186">
        <f>INDEX(tbl_Accent_RGBs9224[G],$L186,1)</f>
        <v>115</v>
      </c>
      <c r="P186">
        <f>INDEX(tbl_Accent_RGBs9224[B],$L186,1)</f>
        <v>245</v>
      </c>
      <c r="Q186" s="57">
        <v>0.9</v>
      </c>
      <c r="R186" t="str">
        <f t="shared" si="330"/>
        <v xml:space="preserve">    --b9-90: rgba(146, 115, 245, 0.9);</v>
      </c>
      <c r="S186" t="str">
        <f t="shared" si="331"/>
        <v xml:space="preserve">  .bg-b9-90{background-color: var(--b9-90);}</v>
      </c>
    </row>
    <row r="187" spans="6:19" x14ac:dyDescent="0.45">
      <c r="F187" t="s">
        <v>248</v>
      </c>
    </row>
  </sheetData>
  <mergeCells count="1">
    <mergeCell ref="G1: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D0EF-E896-462B-AACF-4A208B386E97}">
  <dimension ref="B2:H66"/>
  <sheetViews>
    <sheetView topLeftCell="C1" workbookViewId="0">
      <selection activeCell="M14" sqref="M14"/>
    </sheetView>
  </sheetViews>
  <sheetFormatPr defaultRowHeight="14.25" x14ac:dyDescent="0.45"/>
  <cols>
    <col min="2" max="2" width="19.59765625" bestFit="1" customWidth="1"/>
    <col min="3" max="3" width="52.9296875" bestFit="1" customWidth="1"/>
    <col min="4" max="4" width="15.53125" bestFit="1" customWidth="1"/>
    <col min="6" max="6" width="52.9296875" bestFit="1" customWidth="1"/>
    <col min="7" max="7" width="5.59765625" bestFit="1" customWidth="1"/>
  </cols>
  <sheetData>
    <row r="2" spans="2:8" x14ac:dyDescent="0.45">
      <c r="B2" s="54" t="s">
        <v>244</v>
      </c>
    </row>
    <row r="4" spans="2:8" x14ac:dyDescent="0.45">
      <c r="B4" t="s">
        <v>63</v>
      </c>
      <c r="C4" t="s">
        <v>64</v>
      </c>
      <c r="D4" t="s">
        <v>65</v>
      </c>
    </row>
    <row r="5" spans="2:8" x14ac:dyDescent="0.45">
      <c r="B5" t="s">
        <v>66</v>
      </c>
      <c r="C5" t="s">
        <v>67</v>
      </c>
      <c r="D5" t="s">
        <v>68</v>
      </c>
    </row>
    <row r="6" spans="2:8" x14ac:dyDescent="0.45">
      <c r="B6" t="s">
        <v>69</v>
      </c>
      <c r="C6" t="s">
        <v>70</v>
      </c>
      <c r="D6" t="s">
        <v>71</v>
      </c>
      <c r="E6" t="str">
        <f>TRIM(RIGHT(B6,LEN(B6)-SEARCH(" ",B6)))</f>
        <v>A</v>
      </c>
      <c r="F6" t="str">
        <f>C6</f>
        <v>General</v>
      </c>
      <c r="G6" t="b">
        <f>ISNUMBER(_xlfn.NUMBERVALUE(E6))</f>
        <v>0</v>
      </c>
      <c r="H6" t="str">
        <f>IF(G6,"&lt;tr&gt;&lt;td&gt;"&amp;E6&amp;"&lt;/td&gt;&lt;td&gt;"&amp;F6&amp;"&lt;/td&gt;&lt;/tr&gt;","&lt;tr&gt;&lt;th&gt;"&amp;E6&amp;"&lt;/th&gt;&lt;th&gt;"&amp;F6&amp;"&lt;/th&gt;&lt;/tr&gt;")</f>
        <v>&lt;tr&gt;&lt;th&gt;A&lt;/th&gt;&lt;th&gt;General&lt;/th&gt;&lt;/tr&gt;</v>
      </c>
    </row>
    <row r="7" spans="2:8" x14ac:dyDescent="0.45">
      <c r="B7" t="s">
        <v>72</v>
      </c>
      <c r="C7" t="s">
        <v>64</v>
      </c>
      <c r="D7" t="s">
        <v>73</v>
      </c>
      <c r="E7" t="str">
        <f t="shared" ref="E7:E66" si="0">TRIM(RIGHT(B7,LEN(B7)-SEARCH(" ",B7)))</f>
        <v>1</v>
      </c>
      <c r="F7" t="str">
        <f t="shared" ref="F7:F66" si="1">C7</f>
        <v>Federal Acquisition Regulations System</v>
      </c>
      <c r="G7" t="b">
        <f t="shared" ref="G7:G66" si="2">ISNUMBER(_xlfn.NUMBERVALUE(E7))</f>
        <v>1</v>
      </c>
      <c r="H7" t="str">
        <f t="shared" ref="H7:H66" si="3">IF(G7,"&lt;tr&gt;&lt;td&gt;"&amp;E7&amp;"&lt;/td&gt;&lt;td&gt;"&amp;F7&amp;"&lt;/td&gt;&lt;/tr&gt;","&lt;tr&gt;&lt;th&gt;"&amp;E7&amp;"&lt;/th&gt;&lt;th&gt;"&amp;F7&amp;"&lt;/th&gt;&lt;/tr&gt;")</f>
        <v>&lt;tr&gt;&lt;td&gt;1&lt;/td&gt;&lt;td&gt;Federal Acquisition Regulations System&lt;/td&gt;&lt;/tr&gt;</v>
      </c>
    </row>
    <row r="8" spans="2:8" x14ac:dyDescent="0.45">
      <c r="B8" t="s">
        <v>74</v>
      </c>
      <c r="C8" t="s">
        <v>75</v>
      </c>
      <c r="D8" t="s">
        <v>76</v>
      </c>
      <c r="E8" t="str">
        <f t="shared" si="0"/>
        <v>2</v>
      </c>
      <c r="F8" t="str">
        <f t="shared" si="1"/>
        <v>Definitions of Words and Terms</v>
      </c>
      <c r="G8" t="b">
        <f t="shared" si="2"/>
        <v>1</v>
      </c>
      <c r="H8" t="str">
        <f t="shared" si="3"/>
        <v>&lt;tr&gt;&lt;td&gt;2&lt;/td&gt;&lt;td&gt;Definitions of Words and Terms&lt;/td&gt;&lt;/tr&gt;</v>
      </c>
    </row>
    <row r="9" spans="2:8" x14ac:dyDescent="0.45">
      <c r="B9" t="s">
        <v>77</v>
      </c>
      <c r="C9" t="s">
        <v>78</v>
      </c>
      <c r="D9" t="s">
        <v>79</v>
      </c>
      <c r="E9" t="str">
        <f t="shared" si="0"/>
        <v>3</v>
      </c>
      <c r="F9" t="str">
        <f t="shared" si="1"/>
        <v>Improper Business Practices and Personal Conflicts of Interest</v>
      </c>
      <c r="G9" t="b">
        <f t="shared" si="2"/>
        <v>1</v>
      </c>
      <c r="H9" t="str">
        <f t="shared" si="3"/>
        <v>&lt;tr&gt;&lt;td&gt;3&lt;/td&gt;&lt;td&gt;Improper Business Practices and Personal Conflicts of Interest&lt;/td&gt;&lt;/tr&gt;</v>
      </c>
    </row>
    <row r="10" spans="2:8" x14ac:dyDescent="0.45">
      <c r="B10" t="s">
        <v>80</v>
      </c>
      <c r="C10" t="s">
        <v>81</v>
      </c>
      <c r="D10" t="s">
        <v>82</v>
      </c>
      <c r="E10" t="str">
        <f t="shared" si="0"/>
        <v>4</v>
      </c>
      <c r="F10" t="str">
        <f t="shared" si="1"/>
        <v>Administrative and Information Matters</v>
      </c>
      <c r="G10" t="b">
        <f t="shared" si="2"/>
        <v>1</v>
      </c>
      <c r="H10" t="str">
        <f t="shared" si="3"/>
        <v>&lt;tr&gt;&lt;td&gt;4&lt;/td&gt;&lt;td&gt;Administrative and Information Matters&lt;/td&gt;&lt;/tr&gt;</v>
      </c>
    </row>
    <row r="11" spans="2:8" x14ac:dyDescent="0.45">
      <c r="B11" t="s">
        <v>83</v>
      </c>
      <c r="C11" t="s">
        <v>84</v>
      </c>
      <c r="D11" t="s">
        <v>85</v>
      </c>
      <c r="E11" t="str">
        <f t="shared" si="0"/>
        <v>B</v>
      </c>
      <c r="F11" t="str">
        <f t="shared" si="1"/>
        <v>Acquisition Planning</v>
      </c>
      <c r="G11" t="b">
        <f t="shared" si="2"/>
        <v>0</v>
      </c>
      <c r="H11" t="str">
        <f t="shared" si="3"/>
        <v>&lt;tr&gt;&lt;th&gt;B&lt;/th&gt;&lt;th&gt;Acquisition Planning&lt;/th&gt;&lt;/tr&gt;</v>
      </c>
    </row>
    <row r="12" spans="2:8" x14ac:dyDescent="0.45">
      <c r="B12" t="s">
        <v>86</v>
      </c>
      <c r="C12" t="s">
        <v>87</v>
      </c>
      <c r="D12" t="s">
        <v>88</v>
      </c>
      <c r="E12" t="str">
        <f t="shared" si="0"/>
        <v>5</v>
      </c>
      <c r="F12" t="str">
        <f t="shared" si="1"/>
        <v>Publicizing Contract Actions</v>
      </c>
      <c r="G12" t="b">
        <f t="shared" si="2"/>
        <v>1</v>
      </c>
      <c r="H12" t="str">
        <f t="shared" si="3"/>
        <v>&lt;tr&gt;&lt;td&gt;5&lt;/td&gt;&lt;td&gt;Publicizing Contract Actions&lt;/td&gt;&lt;/tr&gt;</v>
      </c>
    </row>
    <row r="13" spans="2:8" x14ac:dyDescent="0.45">
      <c r="B13" t="s">
        <v>89</v>
      </c>
      <c r="C13" t="s">
        <v>90</v>
      </c>
      <c r="D13" t="s">
        <v>91</v>
      </c>
      <c r="E13" t="str">
        <f t="shared" si="0"/>
        <v>6</v>
      </c>
      <c r="F13" t="str">
        <f t="shared" si="1"/>
        <v>Competition Requirements</v>
      </c>
      <c r="G13" t="b">
        <f t="shared" si="2"/>
        <v>1</v>
      </c>
      <c r="H13" t="str">
        <f t="shared" si="3"/>
        <v>&lt;tr&gt;&lt;td&gt;6&lt;/td&gt;&lt;td&gt;Competition Requirements&lt;/td&gt;&lt;/tr&gt;</v>
      </c>
    </row>
    <row r="14" spans="2:8" x14ac:dyDescent="0.45">
      <c r="B14" t="s">
        <v>92</v>
      </c>
      <c r="C14" t="s">
        <v>84</v>
      </c>
      <c r="D14" t="s">
        <v>93</v>
      </c>
      <c r="E14" t="str">
        <f t="shared" si="0"/>
        <v>7</v>
      </c>
      <c r="F14" t="str">
        <f t="shared" si="1"/>
        <v>Acquisition Planning</v>
      </c>
      <c r="G14" t="b">
        <f t="shared" si="2"/>
        <v>1</v>
      </c>
      <c r="H14" t="str">
        <f t="shared" si="3"/>
        <v>&lt;tr&gt;&lt;td&gt;7&lt;/td&gt;&lt;td&gt;Acquisition Planning&lt;/td&gt;&lt;/tr&gt;</v>
      </c>
    </row>
    <row r="15" spans="2:8" x14ac:dyDescent="0.45">
      <c r="B15" t="s">
        <v>94</v>
      </c>
      <c r="C15" t="s">
        <v>95</v>
      </c>
      <c r="D15" t="s">
        <v>96</v>
      </c>
      <c r="E15" t="str">
        <f t="shared" si="0"/>
        <v>8</v>
      </c>
      <c r="F15" t="str">
        <f t="shared" si="1"/>
        <v>Required Sources of Supplies and Services</v>
      </c>
      <c r="G15" t="b">
        <f t="shared" si="2"/>
        <v>1</v>
      </c>
      <c r="H15" t="str">
        <f t="shared" si="3"/>
        <v>&lt;tr&gt;&lt;td&gt;8&lt;/td&gt;&lt;td&gt;Required Sources of Supplies and Services&lt;/td&gt;&lt;/tr&gt;</v>
      </c>
    </row>
    <row r="16" spans="2:8" x14ac:dyDescent="0.45">
      <c r="B16" t="s">
        <v>97</v>
      </c>
      <c r="C16" t="s">
        <v>98</v>
      </c>
      <c r="D16" t="s">
        <v>99</v>
      </c>
      <c r="E16" t="str">
        <f t="shared" si="0"/>
        <v>9</v>
      </c>
      <c r="F16" t="str">
        <f t="shared" si="1"/>
        <v>Contractor Qualifications</v>
      </c>
      <c r="G16" t="b">
        <f t="shared" si="2"/>
        <v>1</v>
      </c>
      <c r="H16" t="str">
        <f t="shared" si="3"/>
        <v>&lt;tr&gt;&lt;td&gt;9&lt;/td&gt;&lt;td&gt;Contractor Qualifications&lt;/td&gt;&lt;/tr&gt;</v>
      </c>
    </row>
    <row r="17" spans="2:8" x14ac:dyDescent="0.45">
      <c r="B17" t="s">
        <v>100</v>
      </c>
      <c r="C17" t="s">
        <v>101</v>
      </c>
      <c r="D17" t="s">
        <v>102</v>
      </c>
      <c r="E17" t="str">
        <f t="shared" si="0"/>
        <v>10</v>
      </c>
      <c r="F17" t="str">
        <f t="shared" si="1"/>
        <v>Market Research</v>
      </c>
      <c r="G17" t="b">
        <f t="shared" si="2"/>
        <v>1</v>
      </c>
      <c r="H17" t="str">
        <f t="shared" si="3"/>
        <v>&lt;tr&gt;&lt;td&gt;10&lt;/td&gt;&lt;td&gt;Market Research&lt;/td&gt;&lt;/tr&gt;</v>
      </c>
    </row>
    <row r="18" spans="2:8" x14ac:dyDescent="0.45">
      <c r="B18" t="s">
        <v>103</v>
      </c>
      <c r="C18" t="s">
        <v>104</v>
      </c>
      <c r="D18" t="s">
        <v>105</v>
      </c>
      <c r="E18" t="str">
        <f t="shared" si="0"/>
        <v>11</v>
      </c>
      <c r="F18" t="str">
        <f t="shared" si="1"/>
        <v>Describing Agency Needs</v>
      </c>
      <c r="G18" t="b">
        <f t="shared" si="2"/>
        <v>1</v>
      </c>
      <c r="H18" t="str">
        <f t="shared" si="3"/>
        <v>&lt;tr&gt;&lt;td&gt;11&lt;/td&gt;&lt;td&gt;Describing Agency Needs&lt;/td&gt;&lt;/tr&gt;</v>
      </c>
    </row>
    <row r="19" spans="2:8" x14ac:dyDescent="0.45">
      <c r="B19" t="s">
        <v>106</v>
      </c>
      <c r="C19" t="s">
        <v>107</v>
      </c>
      <c r="D19" t="s">
        <v>108</v>
      </c>
      <c r="E19" t="str">
        <f t="shared" si="0"/>
        <v>12</v>
      </c>
      <c r="F19" t="str">
        <f t="shared" si="1"/>
        <v>Acquisition of Commercial Products and Commercial Services</v>
      </c>
      <c r="G19" t="b">
        <f t="shared" si="2"/>
        <v>1</v>
      </c>
      <c r="H19" t="str">
        <f t="shared" si="3"/>
        <v>&lt;tr&gt;&lt;td&gt;12&lt;/td&gt;&lt;td&gt;Acquisition of Commercial Products and Commercial Services&lt;/td&gt;&lt;/tr&gt;</v>
      </c>
    </row>
    <row r="20" spans="2:8" x14ac:dyDescent="0.45">
      <c r="B20" t="s">
        <v>109</v>
      </c>
      <c r="C20" t="s">
        <v>110</v>
      </c>
      <c r="D20" t="s">
        <v>111</v>
      </c>
      <c r="E20" t="str">
        <f t="shared" si="0"/>
        <v>C</v>
      </c>
      <c r="F20" t="str">
        <f t="shared" si="1"/>
        <v>Contracting Methods and Contract Types</v>
      </c>
      <c r="G20" t="b">
        <f t="shared" si="2"/>
        <v>0</v>
      </c>
      <c r="H20" t="str">
        <f t="shared" si="3"/>
        <v>&lt;tr&gt;&lt;th&gt;C&lt;/th&gt;&lt;th&gt;Contracting Methods and Contract Types&lt;/th&gt;&lt;/tr&gt;</v>
      </c>
    </row>
    <row r="21" spans="2:8" x14ac:dyDescent="0.45">
      <c r="B21" t="s">
        <v>112</v>
      </c>
      <c r="C21" t="s">
        <v>113</v>
      </c>
      <c r="D21" t="s">
        <v>114</v>
      </c>
      <c r="E21" t="str">
        <f t="shared" si="0"/>
        <v>13</v>
      </c>
      <c r="F21" t="str">
        <f t="shared" si="1"/>
        <v>Simplified Acquisition Procedures</v>
      </c>
      <c r="G21" t="b">
        <f t="shared" si="2"/>
        <v>1</v>
      </c>
      <c r="H21" t="str">
        <f t="shared" si="3"/>
        <v>&lt;tr&gt;&lt;td&gt;13&lt;/td&gt;&lt;td&gt;Simplified Acquisition Procedures&lt;/td&gt;&lt;/tr&gt;</v>
      </c>
    </row>
    <row r="22" spans="2:8" x14ac:dyDescent="0.45">
      <c r="B22" t="s">
        <v>115</v>
      </c>
      <c r="C22" t="s">
        <v>116</v>
      </c>
      <c r="D22" t="s">
        <v>117</v>
      </c>
      <c r="E22" t="str">
        <f t="shared" si="0"/>
        <v>14</v>
      </c>
      <c r="F22" t="str">
        <f t="shared" si="1"/>
        <v>Sealed Bidding</v>
      </c>
      <c r="G22" t="b">
        <f t="shared" si="2"/>
        <v>1</v>
      </c>
      <c r="H22" t="str">
        <f t="shared" si="3"/>
        <v>&lt;tr&gt;&lt;td&gt;14&lt;/td&gt;&lt;td&gt;Sealed Bidding&lt;/td&gt;&lt;/tr&gt;</v>
      </c>
    </row>
    <row r="23" spans="2:8" x14ac:dyDescent="0.45">
      <c r="B23" t="s">
        <v>118</v>
      </c>
      <c r="C23" t="s">
        <v>119</v>
      </c>
      <c r="D23" t="s">
        <v>120</v>
      </c>
      <c r="E23" t="str">
        <f t="shared" si="0"/>
        <v>15</v>
      </c>
      <c r="F23" t="str">
        <f t="shared" si="1"/>
        <v>Contracting by Negotiation</v>
      </c>
      <c r="G23" t="b">
        <f t="shared" si="2"/>
        <v>1</v>
      </c>
      <c r="H23" t="str">
        <f t="shared" si="3"/>
        <v>&lt;tr&gt;&lt;td&gt;15&lt;/td&gt;&lt;td&gt;Contracting by Negotiation&lt;/td&gt;&lt;/tr&gt;</v>
      </c>
    </row>
    <row r="24" spans="2:8" x14ac:dyDescent="0.45">
      <c r="B24" t="s">
        <v>121</v>
      </c>
      <c r="C24" t="s">
        <v>122</v>
      </c>
      <c r="D24" t="s">
        <v>123</v>
      </c>
      <c r="E24" t="str">
        <f t="shared" si="0"/>
        <v>16</v>
      </c>
      <c r="F24" t="str">
        <f t="shared" si="1"/>
        <v>Types of Contracts</v>
      </c>
      <c r="G24" t="b">
        <f t="shared" si="2"/>
        <v>1</v>
      </c>
      <c r="H24" t="str">
        <f t="shared" si="3"/>
        <v>&lt;tr&gt;&lt;td&gt;16&lt;/td&gt;&lt;td&gt;Types of Contracts&lt;/td&gt;&lt;/tr&gt;</v>
      </c>
    </row>
    <row r="25" spans="2:8" x14ac:dyDescent="0.45">
      <c r="B25" t="s">
        <v>124</v>
      </c>
      <c r="C25" t="s">
        <v>125</v>
      </c>
      <c r="D25" t="s">
        <v>126</v>
      </c>
      <c r="E25" t="str">
        <f t="shared" si="0"/>
        <v>17</v>
      </c>
      <c r="F25" t="str">
        <f t="shared" si="1"/>
        <v>Special Contracting Methods</v>
      </c>
      <c r="G25" t="b">
        <f t="shared" si="2"/>
        <v>1</v>
      </c>
      <c r="H25" t="str">
        <f t="shared" si="3"/>
        <v>&lt;tr&gt;&lt;td&gt;17&lt;/td&gt;&lt;td&gt;Special Contracting Methods&lt;/td&gt;&lt;/tr&gt;</v>
      </c>
    </row>
    <row r="26" spans="2:8" x14ac:dyDescent="0.45">
      <c r="B26" t="s">
        <v>127</v>
      </c>
      <c r="C26" t="s">
        <v>128</v>
      </c>
      <c r="D26" t="s">
        <v>129</v>
      </c>
      <c r="E26" t="str">
        <f t="shared" si="0"/>
        <v>18</v>
      </c>
      <c r="F26" t="str">
        <f t="shared" si="1"/>
        <v>Emergency Acquisitions</v>
      </c>
      <c r="G26" t="b">
        <f t="shared" si="2"/>
        <v>1</v>
      </c>
      <c r="H26" t="str">
        <f t="shared" si="3"/>
        <v>&lt;tr&gt;&lt;td&gt;18&lt;/td&gt;&lt;td&gt;Emergency Acquisitions&lt;/td&gt;&lt;/tr&gt;</v>
      </c>
    </row>
    <row r="27" spans="2:8" x14ac:dyDescent="0.45">
      <c r="B27" t="s">
        <v>130</v>
      </c>
      <c r="C27" t="s">
        <v>131</v>
      </c>
      <c r="D27" t="s">
        <v>132</v>
      </c>
      <c r="E27" t="str">
        <f t="shared" si="0"/>
        <v>D</v>
      </c>
      <c r="F27" t="str">
        <f t="shared" si="1"/>
        <v>Socioeconomic Programs</v>
      </c>
      <c r="G27" t="b">
        <f t="shared" si="2"/>
        <v>0</v>
      </c>
      <c r="H27" t="str">
        <f t="shared" si="3"/>
        <v>&lt;tr&gt;&lt;th&gt;D&lt;/th&gt;&lt;th&gt;Socioeconomic Programs&lt;/th&gt;&lt;/tr&gt;</v>
      </c>
    </row>
    <row r="28" spans="2:8" x14ac:dyDescent="0.45">
      <c r="B28" t="s">
        <v>133</v>
      </c>
      <c r="C28" t="s">
        <v>134</v>
      </c>
      <c r="D28" t="s">
        <v>135</v>
      </c>
      <c r="E28" t="str">
        <f t="shared" si="0"/>
        <v>19</v>
      </c>
      <c r="F28" t="str">
        <f t="shared" si="1"/>
        <v>Small Business Programs</v>
      </c>
      <c r="G28" t="b">
        <f t="shared" si="2"/>
        <v>1</v>
      </c>
      <c r="H28" t="str">
        <f t="shared" si="3"/>
        <v>&lt;tr&gt;&lt;td&gt;19&lt;/td&gt;&lt;td&gt;Small Business Programs&lt;/td&gt;&lt;/tr&gt;</v>
      </c>
    </row>
    <row r="29" spans="2:8" x14ac:dyDescent="0.45">
      <c r="B29" t="s">
        <v>245</v>
      </c>
      <c r="C29" t="s">
        <v>247</v>
      </c>
      <c r="E29" t="str">
        <f t="shared" si="0"/>
        <v>20</v>
      </c>
      <c r="F29" t="str">
        <f t="shared" si="1"/>
        <v>[Reserved]</v>
      </c>
      <c r="G29" t="b">
        <f t="shared" si="2"/>
        <v>1</v>
      </c>
      <c r="H29" t="str">
        <f t="shared" si="3"/>
        <v>&lt;tr&gt;&lt;td&gt;20&lt;/td&gt;&lt;td&gt;[Reserved]&lt;/td&gt;&lt;/tr&gt;</v>
      </c>
    </row>
    <row r="30" spans="2:8" x14ac:dyDescent="0.45">
      <c r="B30" t="s">
        <v>246</v>
      </c>
      <c r="C30" t="s">
        <v>247</v>
      </c>
      <c r="E30" t="str">
        <f t="shared" si="0"/>
        <v>21</v>
      </c>
      <c r="F30" t="str">
        <f t="shared" si="1"/>
        <v>[Reserved]</v>
      </c>
      <c r="G30" t="b">
        <f t="shared" si="2"/>
        <v>1</v>
      </c>
      <c r="H30" t="str">
        <f t="shared" si="3"/>
        <v>&lt;tr&gt;&lt;td&gt;21&lt;/td&gt;&lt;td&gt;[Reserved]&lt;/td&gt;&lt;/tr&gt;</v>
      </c>
    </row>
    <row r="31" spans="2:8" x14ac:dyDescent="0.45">
      <c r="B31" t="s">
        <v>136</v>
      </c>
      <c r="C31" t="s">
        <v>137</v>
      </c>
      <c r="D31" t="s">
        <v>138</v>
      </c>
      <c r="E31" t="str">
        <f t="shared" si="0"/>
        <v>22</v>
      </c>
      <c r="F31" t="str">
        <f t="shared" si="1"/>
        <v>Application of Labor Laws to Government Acquisitions</v>
      </c>
      <c r="G31" t="b">
        <f t="shared" si="2"/>
        <v>1</v>
      </c>
      <c r="H31" t="str">
        <f t="shared" si="3"/>
        <v>&lt;tr&gt;&lt;td&gt;22&lt;/td&gt;&lt;td&gt;Application of Labor Laws to Government Acquisitions&lt;/td&gt;&lt;/tr&gt;</v>
      </c>
    </row>
    <row r="32" spans="2:8" x14ac:dyDescent="0.45">
      <c r="B32" t="s">
        <v>139</v>
      </c>
      <c r="C32" t="s">
        <v>140</v>
      </c>
      <c r="D32" t="s">
        <v>141</v>
      </c>
      <c r="E32" t="str">
        <f t="shared" si="0"/>
        <v>23</v>
      </c>
      <c r="F32" t="str">
        <f t="shared" si="1"/>
        <v>Environment, Sustainable Acquisition, and Material Safety</v>
      </c>
      <c r="G32" t="b">
        <f t="shared" si="2"/>
        <v>1</v>
      </c>
      <c r="H32" t="str">
        <f t="shared" si="3"/>
        <v>&lt;tr&gt;&lt;td&gt;23&lt;/td&gt;&lt;td&gt;Environment, Sustainable Acquisition, and Material Safety&lt;/td&gt;&lt;/tr&gt;</v>
      </c>
    </row>
    <row r="33" spans="2:8" x14ac:dyDescent="0.45">
      <c r="B33" t="s">
        <v>142</v>
      </c>
      <c r="C33" t="s">
        <v>143</v>
      </c>
      <c r="D33" t="s">
        <v>144</v>
      </c>
      <c r="E33" t="str">
        <f t="shared" si="0"/>
        <v>24</v>
      </c>
      <c r="F33" t="str">
        <f t="shared" si="1"/>
        <v>Protection of Privacy and Freedom of Information</v>
      </c>
      <c r="G33" t="b">
        <f t="shared" si="2"/>
        <v>1</v>
      </c>
      <c r="H33" t="str">
        <f t="shared" si="3"/>
        <v>&lt;tr&gt;&lt;td&gt;24&lt;/td&gt;&lt;td&gt;Protection of Privacy and Freedom of Information&lt;/td&gt;&lt;/tr&gt;</v>
      </c>
    </row>
    <row r="34" spans="2:8" x14ac:dyDescent="0.45">
      <c r="B34" t="s">
        <v>145</v>
      </c>
      <c r="C34" t="s">
        <v>146</v>
      </c>
      <c r="D34" t="s">
        <v>147</v>
      </c>
      <c r="E34" t="str">
        <f t="shared" si="0"/>
        <v>25</v>
      </c>
      <c r="F34" t="str">
        <f t="shared" si="1"/>
        <v>Foreign Acquisition</v>
      </c>
      <c r="G34" t="b">
        <f t="shared" si="2"/>
        <v>1</v>
      </c>
      <c r="H34" t="str">
        <f t="shared" si="3"/>
        <v>&lt;tr&gt;&lt;td&gt;25&lt;/td&gt;&lt;td&gt;Foreign Acquisition&lt;/td&gt;&lt;/tr&gt;</v>
      </c>
    </row>
    <row r="35" spans="2:8" x14ac:dyDescent="0.45">
      <c r="B35" t="s">
        <v>148</v>
      </c>
      <c r="C35" t="s">
        <v>149</v>
      </c>
      <c r="D35" t="s">
        <v>150</v>
      </c>
      <c r="E35" t="str">
        <f t="shared" si="0"/>
        <v>26</v>
      </c>
      <c r="F35" t="str">
        <f t="shared" si="1"/>
        <v>Other Socioeconomic Programs</v>
      </c>
      <c r="G35" t="b">
        <f t="shared" si="2"/>
        <v>1</v>
      </c>
      <c r="H35" t="str">
        <f t="shared" si="3"/>
        <v>&lt;tr&gt;&lt;td&gt;26&lt;/td&gt;&lt;td&gt;Other Socioeconomic Programs&lt;/td&gt;&lt;/tr&gt;</v>
      </c>
    </row>
    <row r="36" spans="2:8" x14ac:dyDescent="0.45">
      <c r="B36" t="s">
        <v>151</v>
      </c>
      <c r="C36" t="s">
        <v>152</v>
      </c>
      <c r="D36" t="s">
        <v>153</v>
      </c>
      <c r="E36" t="str">
        <f t="shared" si="0"/>
        <v>E</v>
      </c>
      <c r="F36" t="str">
        <f t="shared" si="1"/>
        <v>General Contracting Requirements</v>
      </c>
      <c r="G36" t="b">
        <f t="shared" si="2"/>
        <v>0</v>
      </c>
      <c r="H36" t="str">
        <f t="shared" si="3"/>
        <v>&lt;tr&gt;&lt;th&gt;E&lt;/th&gt;&lt;th&gt;General Contracting Requirements&lt;/th&gt;&lt;/tr&gt;</v>
      </c>
    </row>
    <row r="37" spans="2:8" x14ac:dyDescent="0.45">
      <c r="B37" t="s">
        <v>154</v>
      </c>
      <c r="C37" t="s">
        <v>155</v>
      </c>
      <c r="D37" t="s">
        <v>156</v>
      </c>
      <c r="E37" t="str">
        <f t="shared" si="0"/>
        <v>27</v>
      </c>
      <c r="F37" t="str">
        <f t="shared" si="1"/>
        <v>Patents, Data, and Copyrights</v>
      </c>
      <c r="G37" t="b">
        <f t="shared" si="2"/>
        <v>1</v>
      </c>
      <c r="H37" t="str">
        <f t="shared" si="3"/>
        <v>&lt;tr&gt;&lt;td&gt;27&lt;/td&gt;&lt;td&gt;Patents, Data, and Copyrights&lt;/td&gt;&lt;/tr&gt;</v>
      </c>
    </row>
    <row r="38" spans="2:8" x14ac:dyDescent="0.45">
      <c r="B38" t="s">
        <v>157</v>
      </c>
      <c r="C38" t="s">
        <v>158</v>
      </c>
      <c r="D38" t="s">
        <v>159</v>
      </c>
      <c r="E38" t="str">
        <f t="shared" si="0"/>
        <v>28</v>
      </c>
      <c r="F38" t="str">
        <f t="shared" si="1"/>
        <v>Bonds and Insurance</v>
      </c>
      <c r="G38" t="b">
        <f t="shared" si="2"/>
        <v>1</v>
      </c>
      <c r="H38" t="str">
        <f t="shared" si="3"/>
        <v>&lt;tr&gt;&lt;td&gt;28&lt;/td&gt;&lt;td&gt;Bonds and Insurance&lt;/td&gt;&lt;/tr&gt;</v>
      </c>
    </row>
    <row r="39" spans="2:8" x14ac:dyDescent="0.45">
      <c r="B39" t="s">
        <v>160</v>
      </c>
      <c r="C39" t="s">
        <v>161</v>
      </c>
      <c r="D39" t="s">
        <v>162</v>
      </c>
      <c r="E39" t="str">
        <f t="shared" si="0"/>
        <v>29</v>
      </c>
      <c r="F39" t="str">
        <f t="shared" si="1"/>
        <v>Taxes</v>
      </c>
      <c r="G39" t="b">
        <f t="shared" si="2"/>
        <v>1</v>
      </c>
      <c r="H39" t="str">
        <f t="shared" si="3"/>
        <v>&lt;tr&gt;&lt;td&gt;29&lt;/td&gt;&lt;td&gt;Taxes&lt;/td&gt;&lt;/tr&gt;</v>
      </c>
    </row>
    <row r="40" spans="2:8" x14ac:dyDescent="0.45">
      <c r="B40" t="s">
        <v>163</v>
      </c>
      <c r="C40" t="s">
        <v>164</v>
      </c>
      <c r="D40" t="s">
        <v>165</v>
      </c>
      <c r="E40" t="str">
        <f t="shared" si="0"/>
        <v>30</v>
      </c>
      <c r="F40" t="str">
        <f t="shared" si="1"/>
        <v>Cost Accounting Standards Administration</v>
      </c>
      <c r="G40" t="b">
        <f t="shared" si="2"/>
        <v>1</v>
      </c>
      <c r="H40" t="str">
        <f t="shared" si="3"/>
        <v>&lt;tr&gt;&lt;td&gt;30&lt;/td&gt;&lt;td&gt;Cost Accounting Standards Administration&lt;/td&gt;&lt;/tr&gt;</v>
      </c>
    </row>
    <row r="41" spans="2:8" x14ac:dyDescent="0.45">
      <c r="B41" t="s">
        <v>166</v>
      </c>
      <c r="C41" t="s">
        <v>167</v>
      </c>
      <c r="D41" t="s">
        <v>168</v>
      </c>
      <c r="E41" t="str">
        <f t="shared" si="0"/>
        <v>31</v>
      </c>
      <c r="F41" t="str">
        <f t="shared" si="1"/>
        <v>Contract Cost Principles and Procedures</v>
      </c>
      <c r="G41" t="b">
        <f t="shared" si="2"/>
        <v>1</v>
      </c>
      <c r="H41" t="str">
        <f t="shared" si="3"/>
        <v>&lt;tr&gt;&lt;td&gt;31&lt;/td&gt;&lt;td&gt;Contract Cost Principles and Procedures&lt;/td&gt;&lt;/tr&gt;</v>
      </c>
    </row>
    <row r="42" spans="2:8" x14ac:dyDescent="0.45">
      <c r="B42" t="s">
        <v>169</v>
      </c>
      <c r="C42" t="s">
        <v>170</v>
      </c>
      <c r="D42" t="s">
        <v>171</v>
      </c>
      <c r="E42" t="str">
        <f t="shared" si="0"/>
        <v>32</v>
      </c>
      <c r="F42" t="str">
        <f t="shared" si="1"/>
        <v>Contract Financing</v>
      </c>
      <c r="G42" t="b">
        <f t="shared" si="2"/>
        <v>1</v>
      </c>
      <c r="H42" t="str">
        <f t="shared" si="3"/>
        <v>&lt;tr&gt;&lt;td&gt;32&lt;/td&gt;&lt;td&gt;Contract Financing&lt;/td&gt;&lt;/tr&gt;</v>
      </c>
    </row>
    <row r="43" spans="2:8" x14ac:dyDescent="0.45">
      <c r="B43" t="s">
        <v>172</v>
      </c>
      <c r="C43" t="s">
        <v>173</v>
      </c>
      <c r="D43" t="s">
        <v>174</v>
      </c>
      <c r="E43" t="str">
        <f t="shared" si="0"/>
        <v>33</v>
      </c>
      <c r="F43" t="str">
        <f t="shared" si="1"/>
        <v>Protests, Disputes, and Appeals</v>
      </c>
      <c r="G43" t="b">
        <f t="shared" si="2"/>
        <v>1</v>
      </c>
      <c r="H43" t="str">
        <f t="shared" si="3"/>
        <v>&lt;tr&gt;&lt;td&gt;33&lt;/td&gt;&lt;td&gt;Protests, Disputes, and Appeals&lt;/td&gt;&lt;/tr&gt;</v>
      </c>
    </row>
    <row r="44" spans="2:8" x14ac:dyDescent="0.45">
      <c r="B44" t="s">
        <v>175</v>
      </c>
      <c r="C44" t="s">
        <v>176</v>
      </c>
      <c r="D44" t="s">
        <v>177</v>
      </c>
      <c r="E44" t="str">
        <f t="shared" si="0"/>
        <v>F</v>
      </c>
      <c r="F44" t="str">
        <f t="shared" si="1"/>
        <v>Special Categories of Contracting</v>
      </c>
      <c r="G44" t="b">
        <f t="shared" si="2"/>
        <v>0</v>
      </c>
      <c r="H44" t="str">
        <f t="shared" si="3"/>
        <v>&lt;tr&gt;&lt;th&gt;F&lt;/th&gt;&lt;th&gt;Special Categories of Contracting&lt;/th&gt;&lt;/tr&gt;</v>
      </c>
    </row>
    <row r="45" spans="2:8" x14ac:dyDescent="0.45">
      <c r="B45" t="s">
        <v>178</v>
      </c>
      <c r="C45" t="s">
        <v>179</v>
      </c>
      <c r="D45" t="s">
        <v>180</v>
      </c>
      <c r="E45" t="str">
        <f t="shared" si="0"/>
        <v>34</v>
      </c>
      <c r="F45" t="str">
        <f t="shared" si="1"/>
        <v>Major System Acquisition</v>
      </c>
      <c r="G45" t="b">
        <f t="shared" si="2"/>
        <v>1</v>
      </c>
      <c r="H45" t="str">
        <f t="shared" si="3"/>
        <v>&lt;tr&gt;&lt;td&gt;34&lt;/td&gt;&lt;td&gt;Major System Acquisition&lt;/td&gt;&lt;/tr&gt;</v>
      </c>
    </row>
    <row r="46" spans="2:8" x14ac:dyDescent="0.45">
      <c r="B46" t="s">
        <v>181</v>
      </c>
      <c r="C46" t="s">
        <v>182</v>
      </c>
      <c r="D46" t="s">
        <v>183</v>
      </c>
      <c r="E46" t="str">
        <f t="shared" si="0"/>
        <v>35</v>
      </c>
      <c r="F46" t="str">
        <f t="shared" si="1"/>
        <v>Research and Development Contracting</v>
      </c>
      <c r="G46" t="b">
        <f t="shared" si="2"/>
        <v>1</v>
      </c>
      <c r="H46" t="str">
        <f t="shared" si="3"/>
        <v>&lt;tr&gt;&lt;td&gt;35&lt;/td&gt;&lt;td&gt;Research and Development Contracting&lt;/td&gt;&lt;/tr&gt;</v>
      </c>
    </row>
    <row r="47" spans="2:8" x14ac:dyDescent="0.45">
      <c r="B47" t="s">
        <v>184</v>
      </c>
      <c r="C47" t="s">
        <v>185</v>
      </c>
      <c r="D47" t="s">
        <v>186</v>
      </c>
      <c r="E47" t="str">
        <f t="shared" si="0"/>
        <v>36</v>
      </c>
      <c r="F47" t="str">
        <f t="shared" si="1"/>
        <v>Construction and Architect-Engineer Contracts</v>
      </c>
      <c r="G47" t="b">
        <f t="shared" si="2"/>
        <v>1</v>
      </c>
      <c r="H47" t="str">
        <f t="shared" si="3"/>
        <v>&lt;tr&gt;&lt;td&gt;36&lt;/td&gt;&lt;td&gt;Construction and Architect-Engineer Contracts&lt;/td&gt;&lt;/tr&gt;</v>
      </c>
    </row>
    <row r="48" spans="2:8" x14ac:dyDescent="0.45">
      <c r="B48" t="s">
        <v>187</v>
      </c>
      <c r="C48" t="s">
        <v>188</v>
      </c>
      <c r="D48" t="s">
        <v>189</v>
      </c>
      <c r="E48" t="str">
        <f t="shared" si="0"/>
        <v>37</v>
      </c>
      <c r="F48" t="str">
        <f t="shared" si="1"/>
        <v>Service Contracting</v>
      </c>
      <c r="G48" t="b">
        <f t="shared" si="2"/>
        <v>1</v>
      </c>
      <c r="H48" t="str">
        <f t="shared" si="3"/>
        <v>&lt;tr&gt;&lt;td&gt;37&lt;/td&gt;&lt;td&gt;Service Contracting&lt;/td&gt;&lt;/tr&gt;</v>
      </c>
    </row>
    <row r="49" spans="2:8" x14ac:dyDescent="0.45">
      <c r="B49" t="s">
        <v>190</v>
      </c>
      <c r="C49" t="s">
        <v>191</v>
      </c>
      <c r="D49" t="s">
        <v>192</v>
      </c>
      <c r="E49" t="str">
        <f t="shared" si="0"/>
        <v>38</v>
      </c>
      <c r="F49" t="str">
        <f t="shared" si="1"/>
        <v>Federal Supply Schedule Contracting</v>
      </c>
      <c r="G49" t="b">
        <f t="shared" si="2"/>
        <v>1</v>
      </c>
      <c r="H49" t="str">
        <f t="shared" si="3"/>
        <v>&lt;tr&gt;&lt;td&gt;38&lt;/td&gt;&lt;td&gt;Federal Supply Schedule Contracting&lt;/td&gt;&lt;/tr&gt;</v>
      </c>
    </row>
    <row r="50" spans="2:8" x14ac:dyDescent="0.45">
      <c r="B50" t="s">
        <v>193</v>
      </c>
      <c r="C50" t="s">
        <v>194</v>
      </c>
      <c r="D50" t="s">
        <v>195</v>
      </c>
      <c r="E50" t="str">
        <f t="shared" si="0"/>
        <v>39</v>
      </c>
      <c r="F50" t="str">
        <f t="shared" si="1"/>
        <v>Acquisition of Information Technology</v>
      </c>
      <c r="G50" t="b">
        <f t="shared" si="2"/>
        <v>1</v>
      </c>
      <c r="H50" t="str">
        <f t="shared" si="3"/>
        <v>&lt;tr&gt;&lt;td&gt;39&lt;/td&gt;&lt;td&gt;Acquisition of Information Technology&lt;/td&gt;&lt;/tr&gt;</v>
      </c>
    </row>
    <row r="51" spans="2:8" x14ac:dyDescent="0.45">
      <c r="B51" t="s">
        <v>196</v>
      </c>
      <c r="C51" t="s">
        <v>197</v>
      </c>
      <c r="D51" t="s">
        <v>198</v>
      </c>
      <c r="E51" t="str">
        <f t="shared" si="0"/>
        <v>40</v>
      </c>
      <c r="F51" t="str">
        <f t="shared" si="1"/>
        <v>Information Security and Supply Chain Security</v>
      </c>
      <c r="G51" t="b">
        <f t="shared" si="2"/>
        <v>1</v>
      </c>
      <c r="H51" t="str">
        <f t="shared" si="3"/>
        <v>&lt;tr&gt;&lt;td&gt;40&lt;/td&gt;&lt;td&gt;Information Security and Supply Chain Security&lt;/td&gt;&lt;/tr&gt;</v>
      </c>
    </row>
    <row r="52" spans="2:8" x14ac:dyDescent="0.45">
      <c r="B52" t="s">
        <v>199</v>
      </c>
      <c r="C52" t="s">
        <v>200</v>
      </c>
      <c r="D52" t="s">
        <v>201</v>
      </c>
      <c r="E52" t="str">
        <f t="shared" si="0"/>
        <v>41</v>
      </c>
      <c r="F52" t="str">
        <f t="shared" si="1"/>
        <v>Acquisition of Utility Services</v>
      </c>
      <c r="G52" t="b">
        <f t="shared" si="2"/>
        <v>1</v>
      </c>
      <c r="H52" t="str">
        <f t="shared" si="3"/>
        <v>&lt;tr&gt;&lt;td&gt;41&lt;/td&gt;&lt;td&gt;Acquisition of Utility Services&lt;/td&gt;&lt;/tr&gt;</v>
      </c>
    </row>
    <row r="53" spans="2:8" x14ac:dyDescent="0.45">
      <c r="B53" t="s">
        <v>202</v>
      </c>
      <c r="C53" t="s">
        <v>203</v>
      </c>
      <c r="D53" t="s">
        <v>204</v>
      </c>
      <c r="E53" t="str">
        <f t="shared" si="0"/>
        <v>G</v>
      </c>
      <c r="F53" t="str">
        <f t="shared" si="1"/>
        <v>Contract Management</v>
      </c>
      <c r="G53" t="b">
        <f t="shared" si="2"/>
        <v>0</v>
      </c>
      <c r="H53" t="str">
        <f t="shared" si="3"/>
        <v>&lt;tr&gt;&lt;th&gt;G&lt;/th&gt;&lt;th&gt;Contract Management&lt;/th&gt;&lt;/tr&gt;</v>
      </c>
    </row>
    <row r="54" spans="2:8" x14ac:dyDescent="0.45">
      <c r="B54" t="s">
        <v>205</v>
      </c>
      <c r="C54" t="s">
        <v>206</v>
      </c>
      <c r="D54" t="s">
        <v>207</v>
      </c>
      <c r="E54" t="str">
        <f t="shared" si="0"/>
        <v>42</v>
      </c>
      <c r="F54" t="str">
        <f t="shared" si="1"/>
        <v>Contract Administration and Audit Services</v>
      </c>
      <c r="G54" t="b">
        <f t="shared" si="2"/>
        <v>1</v>
      </c>
      <c r="H54" t="str">
        <f t="shared" si="3"/>
        <v>&lt;tr&gt;&lt;td&gt;42&lt;/td&gt;&lt;td&gt;Contract Administration and Audit Services&lt;/td&gt;&lt;/tr&gt;</v>
      </c>
    </row>
    <row r="55" spans="2:8" x14ac:dyDescent="0.45">
      <c r="B55" t="s">
        <v>208</v>
      </c>
      <c r="C55" t="s">
        <v>209</v>
      </c>
      <c r="D55" t="s">
        <v>210</v>
      </c>
      <c r="E55" t="str">
        <f t="shared" si="0"/>
        <v>43</v>
      </c>
      <c r="F55" t="str">
        <f t="shared" si="1"/>
        <v>Contract Modifications</v>
      </c>
      <c r="G55" t="b">
        <f t="shared" si="2"/>
        <v>1</v>
      </c>
      <c r="H55" t="str">
        <f t="shared" si="3"/>
        <v>&lt;tr&gt;&lt;td&gt;43&lt;/td&gt;&lt;td&gt;Contract Modifications&lt;/td&gt;&lt;/tr&gt;</v>
      </c>
    </row>
    <row r="56" spans="2:8" x14ac:dyDescent="0.45">
      <c r="B56" t="s">
        <v>211</v>
      </c>
      <c r="C56" t="s">
        <v>212</v>
      </c>
      <c r="D56" t="s">
        <v>213</v>
      </c>
      <c r="E56" t="str">
        <f t="shared" si="0"/>
        <v>44</v>
      </c>
      <c r="F56" t="str">
        <f t="shared" si="1"/>
        <v>Subcontracting Policies and Procedures</v>
      </c>
      <c r="G56" t="b">
        <f t="shared" si="2"/>
        <v>1</v>
      </c>
      <c r="H56" t="str">
        <f t="shared" si="3"/>
        <v>&lt;tr&gt;&lt;td&gt;44&lt;/td&gt;&lt;td&gt;Subcontracting Policies and Procedures&lt;/td&gt;&lt;/tr&gt;</v>
      </c>
    </row>
    <row r="57" spans="2:8" x14ac:dyDescent="0.45">
      <c r="B57" t="s">
        <v>214</v>
      </c>
      <c r="C57" t="s">
        <v>215</v>
      </c>
      <c r="D57" t="s">
        <v>216</v>
      </c>
      <c r="E57" t="str">
        <f t="shared" si="0"/>
        <v>45</v>
      </c>
      <c r="F57" t="str">
        <f t="shared" si="1"/>
        <v>Government Property</v>
      </c>
      <c r="G57" t="b">
        <f t="shared" si="2"/>
        <v>1</v>
      </c>
      <c r="H57" t="str">
        <f t="shared" si="3"/>
        <v>&lt;tr&gt;&lt;td&gt;45&lt;/td&gt;&lt;td&gt;Government Property&lt;/td&gt;&lt;/tr&gt;</v>
      </c>
    </row>
    <row r="58" spans="2:8" x14ac:dyDescent="0.45">
      <c r="B58" t="s">
        <v>217</v>
      </c>
      <c r="C58" t="s">
        <v>218</v>
      </c>
      <c r="D58" t="s">
        <v>219</v>
      </c>
      <c r="E58" t="str">
        <f t="shared" si="0"/>
        <v>46</v>
      </c>
      <c r="F58" t="str">
        <f t="shared" si="1"/>
        <v>Quality Assurance</v>
      </c>
      <c r="G58" t="b">
        <f t="shared" si="2"/>
        <v>1</v>
      </c>
      <c r="H58" t="str">
        <f t="shared" si="3"/>
        <v>&lt;tr&gt;&lt;td&gt;46&lt;/td&gt;&lt;td&gt;Quality Assurance&lt;/td&gt;&lt;/tr&gt;</v>
      </c>
    </row>
    <row r="59" spans="2:8" x14ac:dyDescent="0.45">
      <c r="B59" t="s">
        <v>220</v>
      </c>
      <c r="C59" t="s">
        <v>221</v>
      </c>
      <c r="D59" t="s">
        <v>222</v>
      </c>
      <c r="E59" t="str">
        <f t="shared" si="0"/>
        <v>47</v>
      </c>
      <c r="F59" t="str">
        <f t="shared" si="1"/>
        <v>Transportation</v>
      </c>
      <c r="G59" t="b">
        <f t="shared" si="2"/>
        <v>1</v>
      </c>
      <c r="H59" t="str">
        <f t="shared" si="3"/>
        <v>&lt;tr&gt;&lt;td&gt;47&lt;/td&gt;&lt;td&gt;Transportation&lt;/td&gt;&lt;/tr&gt;</v>
      </c>
    </row>
    <row r="60" spans="2:8" x14ac:dyDescent="0.45">
      <c r="B60" t="s">
        <v>223</v>
      </c>
      <c r="C60" t="s">
        <v>224</v>
      </c>
      <c r="D60" t="s">
        <v>225</v>
      </c>
      <c r="E60" t="str">
        <f t="shared" si="0"/>
        <v>48</v>
      </c>
      <c r="F60" t="str">
        <f t="shared" si="1"/>
        <v>Value Engineering</v>
      </c>
      <c r="G60" t="b">
        <f t="shared" si="2"/>
        <v>1</v>
      </c>
      <c r="H60" t="str">
        <f t="shared" si="3"/>
        <v>&lt;tr&gt;&lt;td&gt;48&lt;/td&gt;&lt;td&gt;Value Engineering&lt;/td&gt;&lt;/tr&gt;</v>
      </c>
    </row>
    <row r="61" spans="2:8" x14ac:dyDescent="0.45">
      <c r="B61" t="s">
        <v>226</v>
      </c>
      <c r="C61" t="s">
        <v>227</v>
      </c>
      <c r="D61" t="s">
        <v>228</v>
      </c>
      <c r="E61" t="str">
        <f t="shared" si="0"/>
        <v>49</v>
      </c>
      <c r="F61" t="str">
        <f t="shared" si="1"/>
        <v>Termination of Contracts</v>
      </c>
      <c r="G61" t="b">
        <f t="shared" si="2"/>
        <v>1</v>
      </c>
      <c r="H61" t="str">
        <f t="shared" si="3"/>
        <v>&lt;tr&gt;&lt;td&gt;49&lt;/td&gt;&lt;td&gt;Termination of Contracts&lt;/td&gt;&lt;/tr&gt;</v>
      </c>
    </row>
    <row r="62" spans="2:8" x14ac:dyDescent="0.45">
      <c r="B62" t="s">
        <v>229</v>
      </c>
      <c r="C62" t="s">
        <v>230</v>
      </c>
      <c r="D62" t="s">
        <v>231</v>
      </c>
      <c r="E62" t="str">
        <f t="shared" si="0"/>
        <v>50</v>
      </c>
      <c r="F62" t="str">
        <f t="shared" si="1"/>
        <v>Extraordinary Contractual Actions and the SAFETY Act</v>
      </c>
      <c r="G62" t="b">
        <f t="shared" si="2"/>
        <v>1</v>
      </c>
      <c r="H62" t="str">
        <f t="shared" si="3"/>
        <v>&lt;tr&gt;&lt;td&gt;50&lt;/td&gt;&lt;td&gt;Extraordinary Contractual Actions and the SAFETY Act&lt;/td&gt;&lt;/tr&gt;</v>
      </c>
    </row>
    <row r="63" spans="2:8" x14ac:dyDescent="0.45">
      <c r="B63" t="s">
        <v>232</v>
      </c>
      <c r="C63" t="s">
        <v>233</v>
      </c>
      <c r="D63" t="s">
        <v>234</v>
      </c>
      <c r="E63" t="str">
        <f t="shared" si="0"/>
        <v>51</v>
      </c>
      <c r="F63" t="str">
        <f t="shared" si="1"/>
        <v>Use of Government Sources by Contractors</v>
      </c>
      <c r="G63" t="b">
        <f t="shared" si="2"/>
        <v>1</v>
      </c>
      <c r="H63" t="str">
        <f t="shared" si="3"/>
        <v>&lt;tr&gt;&lt;td&gt;51&lt;/td&gt;&lt;td&gt;Use of Government Sources by Contractors&lt;/td&gt;&lt;/tr&gt;</v>
      </c>
    </row>
    <row r="64" spans="2:8" x14ac:dyDescent="0.45">
      <c r="B64" t="s">
        <v>235</v>
      </c>
      <c r="C64" t="s">
        <v>236</v>
      </c>
      <c r="D64" t="s">
        <v>237</v>
      </c>
      <c r="E64" t="str">
        <f t="shared" si="0"/>
        <v>H</v>
      </c>
      <c r="F64" t="str">
        <f t="shared" si="1"/>
        <v>Clauses and Forms</v>
      </c>
      <c r="G64" t="b">
        <f t="shared" si="2"/>
        <v>0</v>
      </c>
      <c r="H64" t="str">
        <f t="shared" si="3"/>
        <v>&lt;tr&gt;&lt;th&gt;H&lt;/th&gt;&lt;th&gt;Clauses and Forms&lt;/th&gt;&lt;/tr&gt;</v>
      </c>
    </row>
    <row r="65" spans="2:8" x14ac:dyDescent="0.45">
      <c r="B65" t="s">
        <v>238</v>
      </c>
      <c r="C65" t="s">
        <v>239</v>
      </c>
      <c r="D65" t="s">
        <v>240</v>
      </c>
      <c r="E65" t="str">
        <f t="shared" si="0"/>
        <v>52</v>
      </c>
      <c r="F65" t="str">
        <f t="shared" si="1"/>
        <v>Solicitation Provisions and Contract Clauses</v>
      </c>
      <c r="G65" t="b">
        <f t="shared" si="2"/>
        <v>1</v>
      </c>
      <c r="H65" t="str">
        <f t="shared" si="3"/>
        <v>&lt;tr&gt;&lt;td&gt;52&lt;/td&gt;&lt;td&gt;Solicitation Provisions and Contract Clauses&lt;/td&gt;&lt;/tr&gt;</v>
      </c>
    </row>
    <row r="66" spans="2:8" x14ac:dyDescent="0.45">
      <c r="B66" t="s">
        <v>241</v>
      </c>
      <c r="C66" t="s">
        <v>242</v>
      </c>
      <c r="D66" t="s">
        <v>243</v>
      </c>
      <c r="E66" t="str">
        <f t="shared" si="0"/>
        <v>53</v>
      </c>
      <c r="F66" t="str">
        <f t="shared" si="1"/>
        <v>Forms</v>
      </c>
      <c r="G66" t="b">
        <f t="shared" si="2"/>
        <v>1</v>
      </c>
      <c r="H66" t="str">
        <f t="shared" si="3"/>
        <v>&lt;tr&gt;&lt;td&gt;53&lt;/td&gt;&lt;td&gt;Forms&lt;/td&gt;&lt;/tr&gt;</v>
      </c>
    </row>
  </sheetData>
  <hyperlinks>
    <hyperlink ref="B2" r:id="rId1" xr:uid="{921DDBBD-37B1-4E33-9844-3F9BF154ED45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B7E6-8467-44A8-AB89-2768E010907E}">
  <dimension ref="B1:J166"/>
  <sheetViews>
    <sheetView workbookViewId="0">
      <selection activeCell="I4" sqref="G4:I4"/>
    </sheetView>
  </sheetViews>
  <sheetFormatPr defaultRowHeight="14.25" x14ac:dyDescent="0.45"/>
  <cols>
    <col min="1" max="1" width="3.59765625" customWidth="1"/>
    <col min="6" max="6" width="9.796875" bestFit="1" customWidth="1"/>
    <col min="7" max="7" width="6.59765625" bestFit="1" customWidth="1"/>
    <col min="8" max="8" width="38.796875" bestFit="1" customWidth="1"/>
    <col min="9" max="9" width="36.265625" bestFit="1" customWidth="1"/>
    <col min="10" max="10" width="25" bestFit="1" customWidth="1"/>
  </cols>
  <sheetData>
    <row r="1" spans="2:9" ht="14.65" thickBot="1" x14ac:dyDescent="0.5">
      <c r="G1" s="56" t="s">
        <v>56</v>
      </c>
      <c r="H1" s="56"/>
      <c r="I1" s="56"/>
    </row>
    <row r="2" spans="2:9" ht="14.65" thickBot="1" x14ac:dyDescent="0.5">
      <c r="G2" s="27" t="s">
        <v>37</v>
      </c>
      <c r="H2" s="46">
        <v>400</v>
      </c>
    </row>
    <row r="3" spans="2:9" ht="14.65" thickBot="1" x14ac:dyDescent="0.5">
      <c r="B3" t="s">
        <v>32</v>
      </c>
      <c r="C3" t="s">
        <v>33</v>
      </c>
      <c r="D3" t="s">
        <v>34</v>
      </c>
      <c r="E3" t="s">
        <v>35</v>
      </c>
      <c r="G3" s="52" t="s">
        <v>33</v>
      </c>
      <c r="H3" s="52" t="s">
        <v>34</v>
      </c>
      <c r="I3" s="52" t="s">
        <v>35</v>
      </c>
    </row>
    <row r="4" spans="2:9" x14ac:dyDescent="0.45">
      <c r="B4" t="s">
        <v>38</v>
      </c>
      <c r="C4">
        <v>98</v>
      </c>
      <c r="D4">
        <v>113</v>
      </c>
      <c r="E4">
        <v>189</v>
      </c>
      <c r="G4" s="48">
        <f>ROUND(C4/SUM($C4:$E4)*$H$2,0)</f>
        <v>98</v>
      </c>
      <c r="H4" s="48">
        <f t="shared" ref="H4:I19" si="0">ROUND(D4/SUM($C4:$E4)*$H$2,0)</f>
        <v>113</v>
      </c>
      <c r="I4" s="48">
        <f t="shared" si="0"/>
        <v>189</v>
      </c>
    </row>
    <row r="5" spans="2:9" x14ac:dyDescent="0.45">
      <c r="B5" t="s">
        <v>39</v>
      </c>
      <c r="C5">
        <v>137</v>
      </c>
      <c r="D5">
        <v>115</v>
      </c>
      <c r="E5">
        <v>148</v>
      </c>
      <c r="G5" s="48">
        <f t="shared" ref="G5:I20" si="1">ROUND(C5/SUM($C5:$E5)*$H$2,0)</f>
        <v>137</v>
      </c>
      <c r="H5" s="48">
        <f t="shared" si="0"/>
        <v>115</v>
      </c>
      <c r="I5" s="48">
        <f t="shared" si="0"/>
        <v>148</v>
      </c>
    </row>
    <row r="6" spans="2:9" x14ac:dyDescent="0.45">
      <c r="B6" t="s">
        <v>40</v>
      </c>
      <c r="C6">
        <v>95</v>
      </c>
      <c r="D6">
        <v>131</v>
      </c>
      <c r="E6">
        <v>174</v>
      </c>
      <c r="G6" s="48">
        <f t="shared" si="1"/>
        <v>95</v>
      </c>
      <c r="H6" s="48">
        <f t="shared" si="0"/>
        <v>131</v>
      </c>
      <c r="I6" s="48">
        <f t="shared" si="0"/>
        <v>174</v>
      </c>
    </row>
    <row r="7" spans="2:9" x14ac:dyDescent="0.45">
      <c r="B7" t="s">
        <v>41</v>
      </c>
      <c r="C7">
        <v>82</v>
      </c>
      <c r="D7">
        <v>149</v>
      </c>
      <c r="E7">
        <v>169</v>
      </c>
      <c r="G7" s="48">
        <f t="shared" si="1"/>
        <v>82</v>
      </c>
      <c r="H7" s="48">
        <f t="shared" si="0"/>
        <v>149</v>
      </c>
      <c r="I7" s="48">
        <f t="shared" si="0"/>
        <v>169</v>
      </c>
    </row>
    <row r="8" spans="2:9" x14ac:dyDescent="0.45">
      <c r="B8" t="s">
        <v>42</v>
      </c>
      <c r="C8">
        <v>100</v>
      </c>
      <c r="D8">
        <v>153</v>
      </c>
      <c r="E8">
        <v>147</v>
      </c>
      <c r="G8" s="48">
        <f t="shared" si="1"/>
        <v>100</v>
      </c>
      <c r="H8" s="48">
        <f t="shared" si="0"/>
        <v>153</v>
      </c>
      <c r="I8" s="48">
        <f t="shared" si="0"/>
        <v>147</v>
      </c>
    </row>
    <row r="9" spans="2:9" x14ac:dyDescent="0.45">
      <c r="B9" t="s">
        <v>43</v>
      </c>
      <c r="C9">
        <v>186</v>
      </c>
      <c r="D9">
        <v>114</v>
      </c>
      <c r="E9">
        <v>100</v>
      </c>
      <c r="G9" s="48">
        <f t="shared" si="1"/>
        <v>186</v>
      </c>
      <c r="H9" s="48">
        <f t="shared" si="0"/>
        <v>114</v>
      </c>
      <c r="I9" s="48">
        <f t="shared" si="0"/>
        <v>100</v>
      </c>
    </row>
    <row r="10" spans="2:9" x14ac:dyDescent="0.45">
      <c r="B10" t="s">
        <v>44</v>
      </c>
      <c r="C10">
        <v>173</v>
      </c>
      <c r="D10">
        <v>147</v>
      </c>
      <c r="E10">
        <v>80</v>
      </c>
      <c r="G10" s="48">
        <f t="shared" si="1"/>
        <v>173</v>
      </c>
      <c r="H10" s="48">
        <f t="shared" si="0"/>
        <v>147</v>
      </c>
      <c r="I10" s="48">
        <f t="shared" si="0"/>
        <v>80</v>
      </c>
    </row>
    <row r="11" spans="2:9" x14ac:dyDescent="0.45">
      <c r="B11" t="s">
        <v>45</v>
      </c>
      <c r="C11">
        <v>178</v>
      </c>
      <c r="D11">
        <v>121</v>
      </c>
      <c r="E11">
        <v>101</v>
      </c>
      <c r="G11" s="48">
        <f t="shared" si="1"/>
        <v>178</v>
      </c>
      <c r="H11" s="48">
        <f t="shared" si="0"/>
        <v>121</v>
      </c>
      <c r="I11" s="48">
        <f t="shared" si="0"/>
        <v>101</v>
      </c>
    </row>
    <row r="12" spans="2:9" x14ac:dyDescent="0.45">
      <c r="B12" t="s">
        <v>46</v>
      </c>
      <c r="C12">
        <v>115</v>
      </c>
      <c r="D12">
        <v>132</v>
      </c>
      <c r="E12">
        <v>153</v>
      </c>
      <c r="G12" s="48">
        <f t="shared" si="1"/>
        <v>115</v>
      </c>
      <c r="H12" s="48">
        <f t="shared" si="0"/>
        <v>132</v>
      </c>
      <c r="I12" s="48">
        <f t="shared" si="0"/>
        <v>153</v>
      </c>
    </row>
    <row r="13" spans="2:9" x14ac:dyDescent="0.45">
      <c r="B13" t="s">
        <v>47</v>
      </c>
      <c r="C13">
        <v>227</v>
      </c>
      <c r="D13">
        <v>56</v>
      </c>
      <c r="E13">
        <v>117</v>
      </c>
      <c r="G13" s="48">
        <f t="shared" si="1"/>
        <v>227</v>
      </c>
      <c r="H13" s="48">
        <f t="shared" si="0"/>
        <v>56</v>
      </c>
      <c r="I13" s="48">
        <f t="shared" si="0"/>
        <v>117</v>
      </c>
    </row>
    <row r="14" spans="2:9" x14ac:dyDescent="0.45">
      <c r="B14" t="s">
        <v>48</v>
      </c>
      <c r="C14">
        <v>294</v>
      </c>
      <c r="D14">
        <v>87</v>
      </c>
      <c r="E14">
        <v>19</v>
      </c>
      <c r="G14" s="48">
        <f t="shared" si="1"/>
        <v>294</v>
      </c>
      <c r="H14" s="48">
        <f t="shared" si="0"/>
        <v>87</v>
      </c>
      <c r="I14" s="48">
        <f t="shared" si="0"/>
        <v>19</v>
      </c>
    </row>
    <row r="15" spans="2:9" x14ac:dyDescent="0.45">
      <c r="B15" t="s">
        <v>49</v>
      </c>
      <c r="C15">
        <v>202</v>
      </c>
      <c r="D15">
        <v>180</v>
      </c>
      <c r="E15">
        <v>19</v>
      </c>
      <c r="G15" s="48">
        <f t="shared" si="1"/>
        <v>201</v>
      </c>
      <c r="H15" s="48">
        <f t="shared" si="0"/>
        <v>180</v>
      </c>
      <c r="I15" s="48">
        <f t="shared" si="0"/>
        <v>19</v>
      </c>
    </row>
    <row r="16" spans="2:9" x14ac:dyDescent="0.45">
      <c r="B16" t="s">
        <v>50</v>
      </c>
      <c r="C16">
        <v>132</v>
      </c>
      <c r="D16">
        <v>185</v>
      </c>
      <c r="E16">
        <v>83</v>
      </c>
      <c r="G16" s="48">
        <f t="shared" si="1"/>
        <v>132</v>
      </c>
      <c r="H16" s="48">
        <f t="shared" si="0"/>
        <v>185</v>
      </c>
      <c r="I16" s="48">
        <f t="shared" si="0"/>
        <v>83</v>
      </c>
    </row>
    <row r="17" spans="2:10" x14ac:dyDescent="0.45">
      <c r="B17" t="s">
        <v>51</v>
      </c>
      <c r="C17">
        <v>72</v>
      </c>
      <c r="D17">
        <v>193</v>
      </c>
      <c r="E17">
        <v>136</v>
      </c>
      <c r="G17" s="48">
        <f t="shared" si="1"/>
        <v>72</v>
      </c>
      <c r="H17" s="48">
        <f t="shared" si="0"/>
        <v>193</v>
      </c>
      <c r="I17" s="48">
        <f t="shared" si="0"/>
        <v>136</v>
      </c>
    </row>
    <row r="18" spans="2:10" x14ac:dyDescent="0.45">
      <c r="B18" t="s">
        <v>52</v>
      </c>
      <c r="C18">
        <v>57</v>
      </c>
      <c r="D18">
        <v>152</v>
      </c>
      <c r="E18">
        <v>191</v>
      </c>
      <c r="G18" s="48">
        <f t="shared" si="1"/>
        <v>57</v>
      </c>
      <c r="H18" s="48">
        <f t="shared" si="0"/>
        <v>152</v>
      </c>
      <c r="I18" s="48">
        <f t="shared" si="0"/>
        <v>191</v>
      </c>
    </row>
    <row r="19" spans="2:10" x14ac:dyDescent="0.45">
      <c r="B19" t="s">
        <v>53</v>
      </c>
      <c r="C19">
        <v>70</v>
      </c>
      <c r="D19">
        <v>109</v>
      </c>
      <c r="E19">
        <v>221</v>
      </c>
      <c r="G19" s="48">
        <f t="shared" si="1"/>
        <v>70</v>
      </c>
      <c r="H19" s="48">
        <f t="shared" si="0"/>
        <v>109</v>
      </c>
      <c r="I19" s="48">
        <f t="shared" si="0"/>
        <v>221</v>
      </c>
    </row>
    <row r="20" spans="2:10" x14ac:dyDescent="0.45">
      <c r="B20" t="s">
        <v>54</v>
      </c>
      <c r="C20">
        <v>138</v>
      </c>
      <c r="D20">
        <v>101</v>
      </c>
      <c r="E20">
        <v>161</v>
      </c>
      <c r="G20" s="48">
        <f t="shared" si="1"/>
        <v>138</v>
      </c>
      <c r="H20" s="48">
        <f t="shared" si="1"/>
        <v>101</v>
      </c>
      <c r="I20" s="48">
        <f t="shared" si="1"/>
        <v>161</v>
      </c>
    </row>
    <row r="21" spans="2:10" ht="14.65" thickBot="1" x14ac:dyDescent="0.5">
      <c r="B21" t="s">
        <v>55</v>
      </c>
      <c r="C21">
        <v>163</v>
      </c>
      <c r="D21">
        <v>106</v>
      </c>
      <c r="E21">
        <v>131</v>
      </c>
      <c r="G21" s="48">
        <f t="shared" ref="G21:I21" si="2">ROUND(C21/SUM($C21:$E21)*$H$2,0)</f>
        <v>163</v>
      </c>
      <c r="H21" s="48">
        <f t="shared" si="2"/>
        <v>106</v>
      </c>
      <c r="I21" s="48">
        <f t="shared" si="2"/>
        <v>131</v>
      </c>
    </row>
    <row r="22" spans="2:10" ht="15" thickTop="1" thickBot="1" x14ac:dyDescent="0.5">
      <c r="H22" s="53" t="s">
        <v>57</v>
      </c>
      <c r="I22" s="53" t="s">
        <v>58</v>
      </c>
      <c r="J22" s="53" t="s">
        <v>59</v>
      </c>
    </row>
    <row r="23" spans="2:10" ht="14.65" thickTop="1" x14ac:dyDescent="0.45">
      <c r="B23" s="46" t="s">
        <v>38</v>
      </c>
      <c r="C23" s="49" t="s">
        <v>33</v>
      </c>
      <c r="D23" s="49" t="s">
        <v>34</v>
      </c>
      <c r="E23" s="49" t="s">
        <v>35</v>
      </c>
      <c r="F23" s="49" t="s">
        <v>36</v>
      </c>
      <c r="H23" s="49"/>
      <c r="I23" s="49"/>
      <c r="J23" s="49"/>
    </row>
    <row r="24" spans="2:10" x14ac:dyDescent="0.45">
      <c r="B24" s="27" t="s">
        <v>25</v>
      </c>
      <c r="C24" s="48">
        <f>ROUND(255-((255-C27)*F24),0)</f>
        <v>216</v>
      </c>
      <c r="D24" s="48">
        <f>ROUND(255-((255-D27)*F24),0)</f>
        <v>220</v>
      </c>
      <c r="E24" s="48">
        <f>ROUND(255-((255-E27)*F24),0)</f>
        <v>239</v>
      </c>
      <c r="F24" s="47">
        <v>0.25</v>
      </c>
      <c r="H24" s="48" t="str">
        <f>_xlfn.CONCAT("        --",B23,,B24,": rgba(",C24,", ",D24,", ",E24,", ","1.00",");")</f>
        <v xml:space="preserve">        --a1Lightest: rgba(216, 220, 239, 1.00);</v>
      </c>
      <c r="I24" s="48" t="str">
        <f>_xlfn.CONCAT("    .",B23,B24,"{","color: var(--",B23,B24,");","}")</f>
        <v xml:space="preserve">    .a1Lightest{color: var(--a1Lightest);}</v>
      </c>
      <c r="J24" s="48" t="str">
        <f>_xlfn.CONCAT("    .",B23,B24,"Bg","{","background-color: var(--",B23,B24,");","}")</f>
        <v xml:space="preserve">    .a1LightestBg{background-color: var(--a1Lightest);}</v>
      </c>
    </row>
    <row r="25" spans="2:10" x14ac:dyDescent="0.45">
      <c r="B25" s="27" t="s">
        <v>26</v>
      </c>
      <c r="C25" s="48">
        <f>ROUND(255-((255-C27)*F25),0)</f>
        <v>177</v>
      </c>
      <c r="D25" s="48">
        <f>ROUND(255-((255-D27)*F25),0)</f>
        <v>184</v>
      </c>
      <c r="E25" s="48">
        <f>ROUND(255-((255-E27)*F25),0)</f>
        <v>222</v>
      </c>
      <c r="F25" s="47">
        <v>0.5</v>
      </c>
      <c r="H25" s="48" t="str">
        <f>_xlfn.CONCAT("        --",B23,,B25,": rgba(",C25,", ",D25,", ",E25,", ","1.00",");")</f>
        <v xml:space="preserve">        --a1Lighter: rgba(177, 184, 222, 1.00);</v>
      </c>
      <c r="I25" s="48" t="str">
        <f>_xlfn.CONCAT("    .",B23,B25,"{","color: var(--",B23,B25,");","}")</f>
        <v xml:space="preserve">    .a1Lighter{color: var(--a1Lighter);}</v>
      </c>
      <c r="J25" s="48" t="str">
        <f>_xlfn.CONCAT("    .",B23,B25,"Bg","{","background-color: var(--",B23,B25,");","}")</f>
        <v xml:space="preserve">    .a1LighterBg{background-color: var(--a1Lighter);}</v>
      </c>
    </row>
    <row r="26" spans="2:10" x14ac:dyDescent="0.45">
      <c r="B26" s="27" t="s">
        <v>27</v>
      </c>
      <c r="C26" s="48">
        <f>ROUND(255-((255-C27)*F26),0)</f>
        <v>137</v>
      </c>
      <c r="D26" s="48">
        <f>ROUND(255-((255-D27)*F26),0)</f>
        <v>149</v>
      </c>
      <c r="E26" s="48">
        <f>ROUND(255-((255-E27)*F26),0)</f>
        <v>206</v>
      </c>
      <c r="F26" s="47">
        <v>0.75</v>
      </c>
      <c r="H26" s="48" t="str">
        <f>_xlfn.CONCAT("        --",B23,,B26,": rgba(",C26,", ",D26,", ",E26,", ","1.00",");")</f>
        <v xml:space="preserve">        --a1Light: rgba(137, 149, 206, 1.00);</v>
      </c>
      <c r="I26" s="48" t="str">
        <f>_xlfn.CONCAT("    .",B23,B26,"{","color: var(--",B23,B26,");","}")</f>
        <v xml:space="preserve">    .a1Light{color: var(--a1Light);}</v>
      </c>
      <c r="J26" s="48" t="str">
        <f>_xlfn.CONCAT("    .",B23,B26,"Bg","{","background-color: var(--",B23,B26,");","}")</f>
        <v xml:space="preserve">    .a1LightBg{background-color: var(--a1Light);}</v>
      </c>
    </row>
    <row r="27" spans="2:10" x14ac:dyDescent="0.45">
      <c r="B27" s="27" t="s">
        <v>28</v>
      </c>
      <c r="C27" s="50">
        <f>VLOOKUP(B23,$B$3:$E$21,2,FALSE)</f>
        <v>98</v>
      </c>
      <c r="D27" s="50">
        <f>VLOOKUP(B23,$B$3:$E$21,3,FALSE)</f>
        <v>113</v>
      </c>
      <c r="E27" s="50">
        <f>VLOOKUP(B23,$B$3:$E$21,4,FALSE)</f>
        <v>189</v>
      </c>
      <c r="F27" s="47">
        <v>0</v>
      </c>
      <c r="H27" s="48" t="str">
        <f>_xlfn.CONCAT("        --",B23,,B27,": rgba(",C27,", ",D27,", ",E27,", ","1.00",");")</f>
        <v xml:space="preserve">        --a1Normal: rgba(98, 113, 189, 1.00);</v>
      </c>
      <c r="I27" s="48" t="str">
        <f>_xlfn.CONCAT("    .",B23,B27,"{","color: var(--",B23,B27,");","}")</f>
        <v xml:space="preserve">    .a1Normal{color: var(--a1Normal);}</v>
      </c>
      <c r="J27" s="48" t="str">
        <f>_xlfn.CONCAT("    .",B23,B27,"Bg","{","background-color: var(--",B23,B27,");","}")</f>
        <v xml:space="preserve">    .a1NormalBg{background-color: var(--a1Normal);}</v>
      </c>
    </row>
    <row r="28" spans="2:10" x14ac:dyDescent="0.45">
      <c r="B28" s="27" t="s">
        <v>29</v>
      </c>
      <c r="C28" s="48">
        <f>ROUND(C27*(1+F28),0)</f>
        <v>74</v>
      </c>
      <c r="D28" s="48">
        <f>ROUND(D27*(1+F28),0)</f>
        <v>85</v>
      </c>
      <c r="E28" s="48">
        <f>ROUND(E27*(1+F28),0)</f>
        <v>142</v>
      </c>
      <c r="F28" s="47">
        <v>-0.25</v>
      </c>
      <c r="H28" s="48" t="str">
        <f>_xlfn.CONCAT("        --",B23,,B28,": rgba(",C28,", ",D28,", ",E28,", ","1.00",");")</f>
        <v xml:space="preserve">        --a1Dark: rgba(74, 85, 142, 1.00);</v>
      </c>
      <c r="I28" s="48" t="str">
        <f>_xlfn.CONCAT("    .",B23,B28,"{","color: var(--",B23,B28,");","}")</f>
        <v xml:space="preserve">    .a1Dark{color: var(--a1Dark);}</v>
      </c>
      <c r="J28" s="48" t="str">
        <f>_xlfn.CONCAT("    .",B23,B28,"Bg","{","background-color: var(--",B23,B28,");","}")</f>
        <v xml:space="preserve">    .a1DarkBg{background-color: var(--a1Dark);}</v>
      </c>
    </row>
    <row r="29" spans="2:10" x14ac:dyDescent="0.45">
      <c r="B29" s="27" t="s">
        <v>30</v>
      </c>
      <c r="C29" s="48">
        <f>ROUND(C27*(1+F29),0)</f>
        <v>49</v>
      </c>
      <c r="D29" s="48">
        <f>ROUND(D27*(1+F29),0)</f>
        <v>57</v>
      </c>
      <c r="E29" s="48">
        <f>ROUND(E27*(1+F29),0)</f>
        <v>95</v>
      </c>
      <c r="F29" s="47">
        <v>-0.5</v>
      </c>
      <c r="H29" s="48" t="str">
        <f>_xlfn.CONCAT("        --",B23,,B29,": rgba(",C29,", ",D29,", ",E29,", ","1.00",");")</f>
        <v xml:space="preserve">        --a1Darker: rgba(49, 57, 95, 1.00);</v>
      </c>
      <c r="I29" s="48" t="str">
        <f>_xlfn.CONCAT("    .",B23,B29,"{","color: var(--",B23,B29,");","}")</f>
        <v xml:space="preserve">    .a1Darker{color: var(--a1Darker);}</v>
      </c>
      <c r="J29" s="48" t="str">
        <f>_xlfn.CONCAT("    .",B23,B29,"Bg","{","background-color: var(--",B23,B29,");","}")</f>
        <v xml:space="preserve">    .a1DarkerBg{background-color: var(--a1Darker);}</v>
      </c>
    </row>
    <row r="30" spans="2:10" x14ac:dyDescent="0.45">
      <c r="B30" s="27" t="s">
        <v>31</v>
      </c>
      <c r="C30" s="48">
        <f>ROUND(C27*(1+F30),0)</f>
        <v>25</v>
      </c>
      <c r="D30" s="48">
        <f>ROUND(D27*(1+F30),0)</f>
        <v>28</v>
      </c>
      <c r="E30" s="48">
        <f>ROUND(E27*(1+F30),0)</f>
        <v>47</v>
      </c>
      <c r="F30" s="47">
        <v>-0.75</v>
      </c>
      <c r="H30" s="48" t="str">
        <f>_xlfn.CONCAT("        --",B23,,B30,": rgba(",C30,", ",D30,", ",E30,", ","1.00",");")</f>
        <v xml:space="preserve">        --a1Darkest: rgba(25, 28, 47, 1.00);</v>
      </c>
      <c r="I30" s="48" t="str">
        <f>_xlfn.CONCAT("    .",B23,B30,"{","color: var(--",B23,B30,");","}")</f>
        <v xml:space="preserve">    .a1Darkest{color: var(--a1Darkest);}</v>
      </c>
      <c r="J30" s="48" t="str">
        <f>_xlfn.CONCAT("    .",B23,B30,"Bg","{","background-color: var(--",B23,B30,");","}")</f>
        <v xml:space="preserve">    .a1DarkestBg{background-color: var(--a1Darkest);}</v>
      </c>
    </row>
    <row r="31" spans="2:10" x14ac:dyDescent="0.45">
      <c r="B31" s="46" t="s">
        <v>39</v>
      </c>
      <c r="C31" s="49" t="s">
        <v>33</v>
      </c>
      <c r="D31" s="49" t="s">
        <v>34</v>
      </c>
      <c r="E31" s="49" t="s">
        <v>35</v>
      </c>
      <c r="F31" s="49" t="s">
        <v>36</v>
      </c>
      <c r="H31" s="49"/>
      <c r="I31" s="49"/>
      <c r="J31" s="49"/>
    </row>
    <row r="32" spans="2:10" x14ac:dyDescent="0.45">
      <c r="B32" s="27" t="s">
        <v>25</v>
      </c>
      <c r="C32" s="48">
        <f>ROUND(255-((255-C35)*F32),0)</f>
        <v>226</v>
      </c>
      <c r="D32" s="48">
        <f>ROUND(255-((255-D35)*F32),0)</f>
        <v>220</v>
      </c>
      <c r="E32" s="48">
        <f>ROUND(255-((255-E35)*F32),0)</f>
        <v>228</v>
      </c>
      <c r="F32" s="47">
        <v>0.25</v>
      </c>
      <c r="H32" s="48" t="str">
        <f>_xlfn.CONCAT("        --",B31,,B32,": rgba(",C32,", ",D32,", ",E32,", ","1.00",");")</f>
        <v xml:space="preserve">        --a2Lightest: rgba(226, 220, 228, 1.00);</v>
      </c>
      <c r="I32" s="48" t="str">
        <f>_xlfn.CONCAT("    .",B31,B32,"{","color: var(--",B31,B32,");","}")</f>
        <v xml:space="preserve">    .a2Lightest{color: var(--a2Lightest);}</v>
      </c>
      <c r="J32" s="48" t="str">
        <f t="shared" ref="J32" si="3">_xlfn.CONCAT("    .",B31,B32,"Bg","{","background-color: var(--",B31,B32,");","}")</f>
        <v xml:space="preserve">    .a2LightestBg{background-color: var(--a2Lightest);}</v>
      </c>
    </row>
    <row r="33" spans="2:10" x14ac:dyDescent="0.45">
      <c r="B33" s="27" t="s">
        <v>26</v>
      </c>
      <c r="C33" s="48">
        <f>ROUND(255-((255-C35)*F33),0)</f>
        <v>196</v>
      </c>
      <c r="D33" s="48">
        <f>ROUND(255-((255-D35)*F33),0)</f>
        <v>185</v>
      </c>
      <c r="E33" s="48">
        <f>ROUND(255-((255-E35)*F33),0)</f>
        <v>202</v>
      </c>
      <c r="F33" s="47">
        <v>0.5</v>
      </c>
      <c r="H33" s="48" t="str">
        <f>_xlfn.CONCAT("        --",B31,,B33,": rgba(",C33,", ",D33,", ",E33,", ","1.00",");")</f>
        <v xml:space="preserve">        --a2Lighter: rgba(196, 185, 202, 1.00);</v>
      </c>
      <c r="I33" s="48" t="str">
        <f>_xlfn.CONCAT("    .",B31,B33,"{","color: var(--",B31,B33,");","}")</f>
        <v xml:space="preserve">    .a2Lighter{color: var(--a2Lighter);}</v>
      </c>
      <c r="J33" s="48" t="str">
        <f t="shared" ref="J33" si="4">_xlfn.CONCAT("    .",B31,B33,"Bg","{","background-color: var(--",B31,B33,");","}")</f>
        <v xml:space="preserve">    .a2LighterBg{background-color: var(--a2Lighter);}</v>
      </c>
    </row>
    <row r="34" spans="2:10" x14ac:dyDescent="0.45">
      <c r="B34" s="27" t="s">
        <v>27</v>
      </c>
      <c r="C34" s="48">
        <f>ROUND(255-((255-C35)*F34),0)</f>
        <v>167</v>
      </c>
      <c r="D34" s="48">
        <f>ROUND(255-((255-D35)*F34),0)</f>
        <v>150</v>
      </c>
      <c r="E34" s="48">
        <f>ROUND(255-((255-E35)*F34),0)</f>
        <v>175</v>
      </c>
      <c r="F34" s="47">
        <v>0.75</v>
      </c>
      <c r="H34" s="48" t="str">
        <f>_xlfn.CONCAT("        --",B31,,B34,": rgba(",C34,", ",D34,", ",E34,", ","1.00",");")</f>
        <v xml:space="preserve">        --a2Light: rgba(167, 150, 175, 1.00);</v>
      </c>
      <c r="I34" s="48" t="str">
        <f>_xlfn.CONCAT("    .",B31,B34,"{","color: var(--",B31,B34,");","}")</f>
        <v xml:space="preserve">    .a2Light{color: var(--a2Light);}</v>
      </c>
      <c r="J34" s="48" t="str">
        <f t="shared" ref="J34" si="5">_xlfn.CONCAT("    .",B31,B34,"Bg","{","background-color: var(--",B31,B34,");","}")</f>
        <v xml:space="preserve">    .a2LightBg{background-color: var(--a2Light);}</v>
      </c>
    </row>
    <row r="35" spans="2:10" x14ac:dyDescent="0.45">
      <c r="B35" s="27" t="s">
        <v>28</v>
      </c>
      <c r="C35" s="50">
        <f>VLOOKUP(B31,$B$3:$E$21,2,FALSE)</f>
        <v>137</v>
      </c>
      <c r="D35" s="50">
        <f>VLOOKUP(B31,$B$3:$E$21,3,FALSE)</f>
        <v>115</v>
      </c>
      <c r="E35" s="50">
        <f>VLOOKUP(B31,$B$3:$E$21,4,FALSE)</f>
        <v>148</v>
      </c>
      <c r="F35" s="47">
        <v>0</v>
      </c>
      <c r="H35" s="48" t="str">
        <f>_xlfn.CONCAT("        --",B31,,B35,": rgba(",C35,", ",D35,", ",E35,", ","1.00",");")</f>
        <v xml:space="preserve">        --a2Normal: rgba(137, 115, 148, 1.00);</v>
      </c>
      <c r="I35" s="48" t="str">
        <f>_xlfn.CONCAT("    .",B31,B35,"{","color: var(--",B31,B35,");","}")</f>
        <v xml:space="preserve">    .a2Normal{color: var(--a2Normal);}</v>
      </c>
      <c r="J35" s="48" t="str">
        <f t="shared" ref="J35" si="6">_xlfn.CONCAT("    .",B31,B35,"Bg","{","background-color: var(--",B31,B35,");","}")</f>
        <v xml:space="preserve">    .a2NormalBg{background-color: var(--a2Normal);}</v>
      </c>
    </row>
    <row r="36" spans="2:10" x14ac:dyDescent="0.45">
      <c r="B36" s="27" t="s">
        <v>29</v>
      </c>
      <c r="C36" s="48">
        <f>ROUND(C35*(1+F36),0)</f>
        <v>103</v>
      </c>
      <c r="D36" s="48">
        <f>ROUND(D35*(1+F36),0)</f>
        <v>86</v>
      </c>
      <c r="E36" s="48">
        <f>ROUND(E35*(1+F36),0)</f>
        <v>111</v>
      </c>
      <c r="F36" s="47">
        <v>-0.25</v>
      </c>
      <c r="H36" s="48" t="str">
        <f>_xlfn.CONCAT("        --",B31,,B36,": rgba(",C36,", ",D36,", ",E36,", ","1.00",");")</f>
        <v xml:space="preserve">        --a2Dark: rgba(103, 86, 111, 1.00);</v>
      </c>
      <c r="I36" s="48" t="str">
        <f>_xlfn.CONCAT("    .",B31,B36,"{","color: var(--",B31,B36,");","}")</f>
        <v xml:space="preserve">    .a2Dark{color: var(--a2Dark);}</v>
      </c>
      <c r="J36" s="48" t="str">
        <f t="shared" ref="J36" si="7">_xlfn.CONCAT("    .",B31,B36,"Bg","{","background-color: var(--",B31,B36,");","}")</f>
        <v xml:space="preserve">    .a2DarkBg{background-color: var(--a2Dark);}</v>
      </c>
    </row>
    <row r="37" spans="2:10" x14ac:dyDescent="0.45">
      <c r="B37" s="27" t="s">
        <v>30</v>
      </c>
      <c r="C37" s="48">
        <f>ROUND(C35*(1+F37),0)</f>
        <v>69</v>
      </c>
      <c r="D37" s="48">
        <f>ROUND(D35*(1+F37),0)</f>
        <v>58</v>
      </c>
      <c r="E37" s="48">
        <f>ROUND(E35*(1+F37),0)</f>
        <v>74</v>
      </c>
      <c r="F37" s="47">
        <v>-0.5</v>
      </c>
      <c r="H37" s="48" t="str">
        <f>_xlfn.CONCAT("        --",B31,,B37,": rgba(",C37,", ",D37,", ",E37,", ","1.00",");")</f>
        <v xml:space="preserve">        --a2Darker: rgba(69, 58, 74, 1.00);</v>
      </c>
      <c r="I37" s="48" t="str">
        <f>_xlfn.CONCAT("    .",B31,B37,"{","color: var(--",B31,B37,");","}")</f>
        <v xml:space="preserve">    .a2Darker{color: var(--a2Darker);}</v>
      </c>
      <c r="J37" s="48" t="str">
        <f t="shared" ref="J37" si="8">_xlfn.CONCAT("    .",B31,B37,"Bg","{","background-color: var(--",B31,B37,");","}")</f>
        <v xml:space="preserve">    .a2DarkerBg{background-color: var(--a2Darker);}</v>
      </c>
    </row>
    <row r="38" spans="2:10" x14ac:dyDescent="0.45">
      <c r="B38" s="27" t="s">
        <v>31</v>
      </c>
      <c r="C38" s="48">
        <f>ROUND(C35*(1+F38),0)</f>
        <v>34</v>
      </c>
      <c r="D38" s="48">
        <f>ROUND(D35*(1+F38),0)</f>
        <v>29</v>
      </c>
      <c r="E38" s="48">
        <f>ROUND(E35*(1+F38),0)</f>
        <v>37</v>
      </c>
      <c r="F38" s="47">
        <v>-0.75</v>
      </c>
      <c r="H38" s="48" t="str">
        <f>_xlfn.CONCAT("        --",B31,,B38,": rgba(",C38,", ",D38,", ",E38,", ","1.00",");")</f>
        <v xml:space="preserve">        --a2Darkest: rgba(34, 29, 37, 1.00);</v>
      </c>
      <c r="I38" s="48" t="str">
        <f>_xlfn.CONCAT("    .",B31,B38,"{","color: var(--",B31,B38,");","}")</f>
        <v xml:space="preserve">    .a2Darkest{color: var(--a2Darkest);}</v>
      </c>
      <c r="J38" s="48" t="str">
        <f t="shared" ref="J38" si="9">_xlfn.CONCAT("    .",B31,B38,"Bg","{","background-color: var(--",B31,B38,");","}")</f>
        <v xml:space="preserve">    .a2DarkestBg{background-color: var(--a2Darkest);}</v>
      </c>
    </row>
    <row r="39" spans="2:10" x14ac:dyDescent="0.45">
      <c r="B39" s="46" t="s">
        <v>40</v>
      </c>
      <c r="C39" s="49" t="s">
        <v>33</v>
      </c>
      <c r="D39" s="49" t="s">
        <v>34</v>
      </c>
      <c r="E39" s="49" t="s">
        <v>35</v>
      </c>
      <c r="F39" s="49" t="s">
        <v>36</v>
      </c>
      <c r="H39" s="49"/>
      <c r="I39" s="49"/>
      <c r="J39" s="49"/>
    </row>
    <row r="40" spans="2:10" x14ac:dyDescent="0.45">
      <c r="B40" s="27" t="s">
        <v>25</v>
      </c>
      <c r="C40" s="48">
        <f>ROUND(255-((255-C43)*F40),0)</f>
        <v>215</v>
      </c>
      <c r="D40" s="48">
        <f>ROUND(255-((255-D43)*F40),0)</f>
        <v>224</v>
      </c>
      <c r="E40" s="48">
        <f>ROUND(255-((255-E43)*F40),0)</f>
        <v>235</v>
      </c>
      <c r="F40" s="47">
        <v>0.25</v>
      </c>
      <c r="H40" s="48" t="str">
        <f>_xlfn.CONCAT("        --",B39,,B40,": rgba(",C40,", ",D40,", ",E40,", ","1.00",");")</f>
        <v xml:space="preserve">        --a3Lightest: rgba(215, 224, 235, 1.00);</v>
      </c>
      <c r="I40" s="48" t="str">
        <f>_xlfn.CONCAT("    .",B39,B40,"{","color: var(--",B39,B40,");","}")</f>
        <v xml:space="preserve">    .a3Lightest{color: var(--a3Lightest);}</v>
      </c>
      <c r="J40" s="48" t="str">
        <f t="shared" ref="J40" si="10">_xlfn.CONCAT("    .",B39,B40,"Bg","{","background-color: var(--",B39,B40,");","}")</f>
        <v xml:space="preserve">    .a3LightestBg{background-color: var(--a3Lightest);}</v>
      </c>
    </row>
    <row r="41" spans="2:10" x14ac:dyDescent="0.45">
      <c r="B41" s="27" t="s">
        <v>26</v>
      </c>
      <c r="C41" s="48">
        <f>ROUND(255-((255-C43)*F41),0)</f>
        <v>175</v>
      </c>
      <c r="D41" s="48">
        <f>ROUND(255-((255-D43)*F41),0)</f>
        <v>193</v>
      </c>
      <c r="E41" s="48">
        <f>ROUND(255-((255-E43)*F41),0)</f>
        <v>215</v>
      </c>
      <c r="F41" s="47">
        <v>0.5</v>
      </c>
      <c r="H41" s="48" t="str">
        <f>_xlfn.CONCAT("        --",B39,,B41,": rgba(",C41,", ",D41,", ",E41,", ","1.00",");")</f>
        <v xml:space="preserve">        --a3Lighter: rgba(175, 193, 215, 1.00);</v>
      </c>
      <c r="I41" s="48" t="str">
        <f>_xlfn.CONCAT("    .",B39,B41,"{","color: var(--",B39,B41,");","}")</f>
        <v xml:space="preserve">    .a3Lighter{color: var(--a3Lighter);}</v>
      </c>
      <c r="J41" s="48" t="str">
        <f t="shared" ref="J41" si="11">_xlfn.CONCAT("    .",B39,B41,"Bg","{","background-color: var(--",B39,B41,");","}")</f>
        <v xml:space="preserve">    .a3LighterBg{background-color: var(--a3Lighter);}</v>
      </c>
    </row>
    <row r="42" spans="2:10" x14ac:dyDescent="0.45">
      <c r="B42" s="27" t="s">
        <v>27</v>
      </c>
      <c r="C42" s="48">
        <f>ROUND(255-((255-C43)*F42),0)</f>
        <v>135</v>
      </c>
      <c r="D42" s="48">
        <f>ROUND(255-((255-D43)*F42),0)</f>
        <v>162</v>
      </c>
      <c r="E42" s="48">
        <f>ROUND(255-((255-E43)*F42),0)</f>
        <v>194</v>
      </c>
      <c r="F42" s="47">
        <v>0.75</v>
      </c>
      <c r="H42" s="48" t="str">
        <f>_xlfn.CONCAT("        --",B39,,B42,": rgba(",C42,", ",D42,", ",E42,", ","1.00",");")</f>
        <v xml:space="preserve">        --a3Light: rgba(135, 162, 194, 1.00);</v>
      </c>
      <c r="I42" s="48" t="str">
        <f>_xlfn.CONCAT("    .",B39,B42,"{","color: var(--",B39,B42,");","}")</f>
        <v xml:space="preserve">    .a3Light{color: var(--a3Light);}</v>
      </c>
      <c r="J42" s="48" t="str">
        <f t="shared" ref="J42" si="12">_xlfn.CONCAT("    .",B39,B42,"Bg","{","background-color: var(--",B39,B42,");","}")</f>
        <v xml:space="preserve">    .a3LightBg{background-color: var(--a3Light);}</v>
      </c>
    </row>
    <row r="43" spans="2:10" x14ac:dyDescent="0.45">
      <c r="B43" s="27" t="s">
        <v>28</v>
      </c>
      <c r="C43" s="50">
        <f>VLOOKUP(B39,$B$3:$E$21,2,FALSE)</f>
        <v>95</v>
      </c>
      <c r="D43" s="50">
        <f>VLOOKUP(B39,$B$3:$E$21,3,FALSE)</f>
        <v>131</v>
      </c>
      <c r="E43" s="50">
        <f>VLOOKUP(B39,$B$3:$E$21,4,FALSE)</f>
        <v>174</v>
      </c>
      <c r="F43" s="47">
        <v>0</v>
      </c>
      <c r="H43" s="48" t="str">
        <f>_xlfn.CONCAT("        --",B39,,B43,": rgba(",C43,", ",D43,", ",E43,", ","1.00",");")</f>
        <v xml:space="preserve">        --a3Normal: rgba(95, 131, 174, 1.00);</v>
      </c>
      <c r="I43" s="48" t="str">
        <f>_xlfn.CONCAT("    .",B39,B43,"{","color: var(--",B39,B43,");","}")</f>
        <v xml:space="preserve">    .a3Normal{color: var(--a3Normal);}</v>
      </c>
      <c r="J43" s="48" t="str">
        <f t="shared" ref="J43" si="13">_xlfn.CONCAT("    .",B39,B43,"Bg","{","background-color: var(--",B39,B43,");","}")</f>
        <v xml:space="preserve">    .a3NormalBg{background-color: var(--a3Normal);}</v>
      </c>
    </row>
    <row r="44" spans="2:10" x14ac:dyDescent="0.45">
      <c r="B44" s="27" t="s">
        <v>29</v>
      </c>
      <c r="C44" s="48">
        <f>ROUND(C43*(1+F44),0)</f>
        <v>71</v>
      </c>
      <c r="D44" s="48">
        <f>ROUND(D43*(1+F44),0)</f>
        <v>98</v>
      </c>
      <c r="E44" s="48">
        <f>ROUND(E43*(1+F44),0)</f>
        <v>131</v>
      </c>
      <c r="F44" s="47">
        <v>-0.25</v>
      </c>
      <c r="H44" s="48" t="str">
        <f>_xlfn.CONCAT("        --",B39,,B44,": rgba(",C44,", ",D44,", ",E44,", ","1.00",");")</f>
        <v xml:space="preserve">        --a3Dark: rgba(71, 98, 131, 1.00);</v>
      </c>
      <c r="I44" s="48" t="str">
        <f>_xlfn.CONCAT("    .",B39,B44,"{","color: var(--",B39,B44,");","}")</f>
        <v xml:space="preserve">    .a3Dark{color: var(--a3Dark);}</v>
      </c>
      <c r="J44" s="48" t="str">
        <f t="shared" ref="J44" si="14">_xlfn.CONCAT("    .",B39,B44,"Bg","{","background-color: var(--",B39,B44,");","}")</f>
        <v xml:space="preserve">    .a3DarkBg{background-color: var(--a3Dark);}</v>
      </c>
    </row>
    <row r="45" spans="2:10" x14ac:dyDescent="0.45">
      <c r="B45" s="27" t="s">
        <v>30</v>
      </c>
      <c r="C45" s="48">
        <f>ROUND(C43*(1+F45),0)</f>
        <v>48</v>
      </c>
      <c r="D45" s="48">
        <f>ROUND(D43*(1+F45),0)</f>
        <v>66</v>
      </c>
      <c r="E45" s="48">
        <f>ROUND(E43*(1+F45),0)</f>
        <v>87</v>
      </c>
      <c r="F45" s="47">
        <v>-0.5</v>
      </c>
      <c r="H45" s="48" t="str">
        <f>_xlfn.CONCAT("        --",B39,,B45,": rgba(",C45,", ",D45,", ",E45,", ","1.00",");")</f>
        <v xml:space="preserve">        --a3Darker: rgba(48, 66, 87, 1.00);</v>
      </c>
      <c r="I45" s="48" t="str">
        <f>_xlfn.CONCAT("    .",B39,B45,"{","color: var(--",B39,B45,");","}")</f>
        <v xml:space="preserve">    .a3Darker{color: var(--a3Darker);}</v>
      </c>
      <c r="J45" s="48" t="str">
        <f t="shared" ref="J45" si="15">_xlfn.CONCAT("    .",B39,B45,"Bg","{","background-color: var(--",B39,B45,");","}")</f>
        <v xml:space="preserve">    .a3DarkerBg{background-color: var(--a3Darker);}</v>
      </c>
    </row>
    <row r="46" spans="2:10" x14ac:dyDescent="0.45">
      <c r="B46" s="27" t="s">
        <v>31</v>
      </c>
      <c r="C46" s="48">
        <f>ROUND(C43*(1+F46),0)</f>
        <v>24</v>
      </c>
      <c r="D46" s="48">
        <f>ROUND(D43*(1+F46),0)</f>
        <v>33</v>
      </c>
      <c r="E46" s="48">
        <f>ROUND(E43*(1+F46),0)</f>
        <v>44</v>
      </c>
      <c r="F46" s="47">
        <v>-0.75</v>
      </c>
      <c r="H46" s="48" t="str">
        <f>_xlfn.CONCAT("        --",B39,,B46,": rgba(",C46,", ",D46,", ",E46,", ","1.00",");")</f>
        <v xml:space="preserve">        --a3Darkest: rgba(24, 33, 44, 1.00);</v>
      </c>
      <c r="I46" s="48" t="str">
        <f>_xlfn.CONCAT("    .",B39,B46,"{","color: var(--",B39,B46,");","}")</f>
        <v xml:space="preserve">    .a3Darkest{color: var(--a3Darkest);}</v>
      </c>
      <c r="J46" s="48" t="str">
        <f t="shared" ref="J46" si="16">_xlfn.CONCAT("    .",B39,B46,"Bg","{","background-color: var(--",B39,B46,");","}")</f>
        <v xml:space="preserve">    .a3DarkestBg{background-color: var(--a3Darkest);}</v>
      </c>
    </row>
    <row r="47" spans="2:10" x14ac:dyDescent="0.45">
      <c r="B47" s="46" t="s">
        <v>41</v>
      </c>
      <c r="C47" s="49" t="s">
        <v>33</v>
      </c>
      <c r="D47" s="49" t="s">
        <v>34</v>
      </c>
      <c r="E47" s="49" t="s">
        <v>35</v>
      </c>
      <c r="F47" s="49" t="s">
        <v>36</v>
      </c>
      <c r="H47" s="49"/>
      <c r="I47" s="49"/>
      <c r="J47" s="49"/>
    </row>
    <row r="48" spans="2:10" x14ac:dyDescent="0.45">
      <c r="B48" s="27" t="s">
        <v>25</v>
      </c>
      <c r="C48" s="48">
        <f>ROUND(255-((255-C51)*F48),0)</f>
        <v>212</v>
      </c>
      <c r="D48" s="48">
        <f>ROUND(255-((255-D51)*F48),0)</f>
        <v>229</v>
      </c>
      <c r="E48" s="48">
        <f>ROUND(255-((255-E51)*F48),0)</f>
        <v>234</v>
      </c>
      <c r="F48" s="47">
        <v>0.25</v>
      </c>
      <c r="H48" s="48" t="str">
        <f>_xlfn.CONCAT("        --",B47,,B48,": rgba(",C48,", ",D48,", ",E48,", ","1.00",");")</f>
        <v xml:space="preserve">        --a4Lightest: rgba(212, 229, 234, 1.00);</v>
      </c>
      <c r="I48" s="48" t="str">
        <f>_xlfn.CONCAT("    .",B47,B48,"{","color: var(--",B47,B48,");","}")</f>
        <v xml:space="preserve">    .a4Lightest{color: var(--a4Lightest);}</v>
      </c>
      <c r="J48" s="48" t="str">
        <f t="shared" ref="J48" si="17">_xlfn.CONCAT("    .",B47,B48,"Bg","{","background-color: var(--",B47,B48,");","}")</f>
        <v xml:space="preserve">    .a4LightestBg{background-color: var(--a4Lightest);}</v>
      </c>
    </row>
    <row r="49" spans="2:10" x14ac:dyDescent="0.45">
      <c r="B49" s="27" t="s">
        <v>26</v>
      </c>
      <c r="C49" s="48">
        <f>ROUND(255-((255-C51)*F49),0)</f>
        <v>169</v>
      </c>
      <c r="D49" s="48">
        <f>ROUND(255-((255-D51)*F49),0)</f>
        <v>202</v>
      </c>
      <c r="E49" s="48">
        <f>ROUND(255-((255-E51)*F49),0)</f>
        <v>212</v>
      </c>
      <c r="F49" s="47">
        <v>0.5</v>
      </c>
      <c r="H49" s="48" t="str">
        <f>_xlfn.CONCAT("        --",B47,,B49,": rgba(",C49,", ",D49,", ",E49,", ","1.00",");")</f>
        <v xml:space="preserve">        --a4Lighter: rgba(169, 202, 212, 1.00);</v>
      </c>
      <c r="I49" s="48" t="str">
        <f>_xlfn.CONCAT("    .",B47,B49,"{","color: var(--",B47,B49,");","}")</f>
        <v xml:space="preserve">    .a4Lighter{color: var(--a4Lighter);}</v>
      </c>
      <c r="J49" s="48" t="str">
        <f t="shared" ref="J49" si="18">_xlfn.CONCAT("    .",B47,B49,"Bg","{","background-color: var(--",B47,B49,");","}")</f>
        <v xml:space="preserve">    .a4LighterBg{background-color: var(--a4Lighter);}</v>
      </c>
    </row>
    <row r="50" spans="2:10" x14ac:dyDescent="0.45">
      <c r="B50" s="27" t="s">
        <v>27</v>
      </c>
      <c r="C50" s="48">
        <f>ROUND(255-((255-C51)*F50),0)</f>
        <v>125</v>
      </c>
      <c r="D50" s="48">
        <f>ROUND(255-((255-D51)*F50),0)</f>
        <v>176</v>
      </c>
      <c r="E50" s="48">
        <f>ROUND(255-((255-E51)*F50),0)</f>
        <v>191</v>
      </c>
      <c r="F50" s="47">
        <v>0.75</v>
      </c>
      <c r="H50" s="48" t="str">
        <f>_xlfn.CONCAT("        --",B47,,B50,": rgba(",C50,", ",D50,", ",E50,", ","1.00",");")</f>
        <v xml:space="preserve">        --a4Light: rgba(125, 176, 191, 1.00);</v>
      </c>
      <c r="I50" s="48" t="str">
        <f>_xlfn.CONCAT("    .",B47,B50,"{","color: var(--",B47,B50,");","}")</f>
        <v xml:space="preserve">    .a4Light{color: var(--a4Light);}</v>
      </c>
      <c r="J50" s="48" t="str">
        <f t="shared" ref="J50" si="19">_xlfn.CONCAT("    .",B47,B50,"Bg","{","background-color: var(--",B47,B50,");","}")</f>
        <v xml:space="preserve">    .a4LightBg{background-color: var(--a4Light);}</v>
      </c>
    </row>
    <row r="51" spans="2:10" x14ac:dyDescent="0.45">
      <c r="B51" s="27" t="s">
        <v>28</v>
      </c>
      <c r="C51" s="50">
        <f>VLOOKUP(B47,$B$3:$E$21,2,FALSE)</f>
        <v>82</v>
      </c>
      <c r="D51" s="50">
        <f>VLOOKUP(B47,$B$3:$E$21,3,FALSE)</f>
        <v>149</v>
      </c>
      <c r="E51" s="50">
        <f>VLOOKUP(B47,$B$3:$E$21,4,FALSE)</f>
        <v>169</v>
      </c>
      <c r="F51" s="47">
        <v>0</v>
      </c>
      <c r="H51" s="48" t="str">
        <f>_xlfn.CONCAT("        --",B47,,B51,": rgba(",C51,", ",D51,", ",E51,", ","1.00",");")</f>
        <v xml:space="preserve">        --a4Normal: rgba(82, 149, 169, 1.00);</v>
      </c>
      <c r="I51" s="48" t="str">
        <f>_xlfn.CONCAT("    .",B47,B51,"{","color: var(--",B47,B51,");","}")</f>
        <v xml:space="preserve">    .a4Normal{color: var(--a4Normal);}</v>
      </c>
      <c r="J51" s="48" t="str">
        <f t="shared" ref="J51" si="20">_xlfn.CONCAT("    .",B47,B51,"Bg","{","background-color: var(--",B47,B51,");","}")</f>
        <v xml:space="preserve">    .a4NormalBg{background-color: var(--a4Normal);}</v>
      </c>
    </row>
    <row r="52" spans="2:10" x14ac:dyDescent="0.45">
      <c r="B52" s="27" t="s">
        <v>29</v>
      </c>
      <c r="C52" s="48">
        <f>ROUND(C51*(1+F52),0)</f>
        <v>62</v>
      </c>
      <c r="D52" s="48">
        <f>ROUND(D51*(1+F52),0)</f>
        <v>112</v>
      </c>
      <c r="E52" s="48">
        <f>ROUND(E51*(1+F52),0)</f>
        <v>127</v>
      </c>
      <c r="F52" s="47">
        <v>-0.25</v>
      </c>
      <c r="H52" s="48" t="str">
        <f>_xlfn.CONCAT("        --",B47,,B52,": rgba(",C52,", ",D52,", ",E52,", ","1.00",");")</f>
        <v xml:space="preserve">        --a4Dark: rgba(62, 112, 127, 1.00);</v>
      </c>
      <c r="I52" s="48" t="str">
        <f>_xlfn.CONCAT("    .",B47,B52,"{","color: var(--",B47,B52,");","}")</f>
        <v xml:space="preserve">    .a4Dark{color: var(--a4Dark);}</v>
      </c>
      <c r="J52" s="48" t="str">
        <f t="shared" ref="J52" si="21">_xlfn.CONCAT("    .",B47,B52,"Bg","{","background-color: var(--",B47,B52,");","}")</f>
        <v xml:space="preserve">    .a4DarkBg{background-color: var(--a4Dark);}</v>
      </c>
    </row>
    <row r="53" spans="2:10" x14ac:dyDescent="0.45">
      <c r="B53" s="27" t="s">
        <v>30</v>
      </c>
      <c r="C53" s="48">
        <f>ROUND(C51*(1+F53),0)</f>
        <v>41</v>
      </c>
      <c r="D53" s="48">
        <f>ROUND(D51*(1+F53),0)</f>
        <v>75</v>
      </c>
      <c r="E53" s="48">
        <f>ROUND(E51*(1+F53),0)</f>
        <v>85</v>
      </c>
      <c r="F53" s="47">
        <v>-0.5</v>
      </c>
      <c r="H53" s="48" t="str">
        <f>_xlfn.CONCAT("        --",B47,,B53,": rgba(",C53,", ",D53,", ",E53,", ","1.00",");")</f>
        <v xml:space="preserve">        --a4Darker: rgba(41, 75, 85, 1.00);</v>
      </c>
      <c r="I53" s="48" t="str">
        <f>_xlfn.CONCAT("    .",B47,B53,"{","color: var(--",B47,B53,");","}")</f>
        <v xml:space="preserve">    .a4Darker{color: var(--a4Darker);}</v>
      </c>
      <c r="J53" s="48" t="str">
        <f t="shared" ref="J53" si="22">_xlfn.CONCAT("    .",B47,B53,"Bg","{","background-color: var(--",B47,B53,");","}")</f>
        <v xml:space="preserve">    .a4DarkerBg{background-color: var(--a4Darker);}</v>
      </c>
    </row>
    <row r="54" spans="2:10" x14ac:dyDescent="0.45">
      <c r="B54" s="27" t="s">
        <v>31</v>
      </c>
      <c r="C54" s="48">
        <f>ROUND(C51*(1+F54),0)</f>
        <v>21</v>
      </c>
      <c r="D54" s="48">
        <f>ROUND(D51*(1+F54),0)</f>
        <v>37</v>
      </c>
      <c r="E54" s="48">
        <f>ROUND(E51*(1+F54),0)</f>
        <v>42</v>
      </c>
      <c r="F54" s="47">
        <v>-0.75</v>
      </c>
      <c r="H54" s="48" t="str">
        <f>_xlfn.CONCAT("        --",B47,,B54,": rgba(",C54,", ",D54,", ",E54,", ","1.00",");")</f>
        <v xml:space="preserve">        --a4Darkest: rgba(21, 37, 42, 1.00);</v>
      </c>
      <c r="I54" s="48" t="str">
        <f>_xlfn.CONCAT("    .",B47,B54,"{","color: var(--",B47,B54,");","}")</f>
        <v xml:space="preserve">    .a4Darkest{color: var(--a4Darkest);}</v>
      </c>
      <c r="J54" s="48" t="str">
        <f t="shared" ref="J54" si="23">_xlfn.CONCAT("    .",B47,B54,"Bg","{","background-color: var(--",B47,B54,");","}")</f>
        <v xml:space="preserve">    .a4DarkestBg{background-color: var(--a4Darkest);}</v>
      </c>
    </row>
    <row r="55" spans="2:10" x14ac:dyDescent="0.45">
      <c r="B55" s="46" t="s">
        <v>42</v>
      </c>
      <c r="C55" s="49" t="s">
        <v>33</v>
      </c>
      <c r="D55" s="49" t="s">
        <v>34</v>
      </c>
      <c r="E55" s="49" t="s">
        <v>35</v>
      </c>
      <c r="F55" s="49" t="s">
        <v>36</v>
      </c>
      <c r="H55" s="49"/>
      <c r="I55" s="49"/>
      <c r="J55" s="49"/>
    </row>
    <row r="56" spans="2:10" x14ac:dyDescent="0.45">
      <c r="B56" s="27" t="s">
        <v>25</v>
      </c>
      <c r="C56" s="48">
        <f>ROUND(255-((255-C59)*F56),0)</f>
        <v>216</v>
      </c>
      <c r="D56" s="48">
        <f>ROUND(255-((255-D59)*F56),0)</f>
        <v>230</v>
      </c>
      <c r="E56" s="48">
        <f>ROUND(255-((255-E59)*F56),0)</f>
        <v>228</v>
      </c>
      <c r="F56" s="47">
        <v>0.25</v>
      </c>
      <c r="H56" s="48" t="str">
        <f>_xlfn.CONCAT("        --",B55,,B56,": rgba(",C56,", ",D56,", ",E56,", ","1.00",");")</f>
        <v xml:space="preserve">        --a5Lightest: rgba(216, 230, 228, 1.00);</v>
      </c>
      <c r="I56" s="48" t="str">
        <f>_xlfn.CONCAT("    .",B55,B56,"{","color: var(--",B55,B56,");","}")</f>
        <v xml:space="preserve">    .a5Lightest{color: var(--a5Lightest);}</v>
      </c>
      <c r="J56" s="48" t="str">
        <f t="shared" ref="J56" si="24">_xlfn.CONCAT("    .",B55,B56,"Bg","{","background-color: var(--",B55,B56,");","}")</f>
        <v xml:space="preserve">    .a5LightestBg{background-color: var(--a5Lightest);}</v>
      </c>
    </row>
    <row r="57" spans="2:10" x14ac:dyDescent="0.45">
      <c r="B57" s="27" t="s">
        <v>26</v>
      </c>
      <c r="C57" s="48">
        <f>ROUND(255-((255-C59)*F57),0)</f>
        <v>178</v>
      </c>
      <c r="D57" s="48">
        <f>ROUND(255-((255-D59)*F57),0)</f>
        <v>204</v>
      </c>
      <c r="E57" s="48">
        <f>ROUND(255-((255-E59)*F57),0)</f>
        <v>201</v>
      </c>
      <c r="F57" s="47">
        <v>0.5</v>
      </c>
      <c r="H57" s="48" t="str">
        <f>_xlfn.CONCAT("        --",B55,,B57,": rgba(",C57,", ",D57,", ",E57,", ","1.00",");")</f>
        <v xml:space="preserve">        --a5Lighter: rgba(178, 204, 201, 1.00);</v>
      </c>
      <c r="I57" s="48" t="str">
        <f>_xlfn.CONCAT("    .",B55,B57,"{","color: var(--",B55,B57,");","}")</f>
        <v xml:space="preserve">    .a5Lighter{color: var(--a5Lighter);}</v>
      </c>
      <c r="J57" s="48" t="str">
        <f t="shared" ref="J57" si="25">_xlfn.CONCAT("    .",B55,B57,"Bg","{","background-color: var(--",B55,B57,");","}")</f>
        <v xml:space="preserve">    .a5LighterBg{background-color: var(--a5Lighter);}</v>
      </c>
    </row>
    <row r="58" spans="2:10" x14ac:dyDescent="0.45">
      <c r="B58" s="27" t="s">
        <v>27</v>
      </c>
      <c r="C58" s="48">
        <f>ROUND(255-((255-C59)*F58),0)</f>
        <v>139</v>
      </c>
      <c r="D58" s="48">
        <f>ROUND(255-((255-D59)*F58),0)</f>
        <v>179</v>
      </c>
      <c r="E58" s="48">
        <f>ROUND(255-((255-E59)*F58),0)</f>
        <v>174</v>
      </c>
      <c r="F58" s="47">
        <v>0.75</v>
      </c>
      <c r="H58" s="48" t="str">
        <f>_xlfn.CONCAT("        --",B55,,B58,": rgba(",C58,", ",D58,", ",E58,", ","1.00",");")</f>
        <v xml:space="preserve">        --a5Light: rgba(139, 179, 174, 1.00);</v>
      </c>
      <c r="I58" s="48" t="str">
        <f>_xlfn.CONCAT("    .",B55,B58,"{","color: var(--",B55,B58,");","}")</f>
        <v xml:space="preserve">    .a5Light{color: var(--a5Light);}</v>
      </c>
      <c r="J58" s="48" t="str">
        <f t="shared" ref="J58" si="26">_xlfn.CONCAT("    .",B55,B58,"Bg","{","background-color: var(--",B55,B58,");","}")</f>
        <v xml:space="preserve">    .a5LightBg{background-color: var(--a5Light);}</v>
      </c>
    </row>
    <row r="59" spans="2:10" x14ac:dyDescent="0.45">
      <c r="B59" s="27" t="s">
        <v>28</v>
      </c>
      <c r="C59" s="50">
        <f>VLOOKUP(B55,$B$3:$E$21,2,FALSE)</f>
        <v>100</v>
      </c>
      <c r="D59" s="50">
        <f>VLOOKUP(B55,$B$3:$E$21,3,FALSE)</f>
        <v>153</v>
      </c>
      <c r="E59" s="50">
        <f>VLOOKUP(B55,$B$3:$E$21,4,FALSE)</f>
        <v>147</v>
      </c>
      <c r="F59" s="47">
        <v>0</v>
      </c>
      <c r="H59" s="48" t="str">
        <f>_xlfn.CONCAT("        --",B55,,B59,": rgba(",C59,", ",D59,", ",E59,", ","1.00",");")</f>
        <v xml:space="preserve">        --a5Normal: rgba(100, 153, 147, 1.00);</v>
      </c>
      <c r="I59" s="48" t="str">
        <f>_xlfn.CONCAT("    .",B55,B59,"{","color: var(--",B55,B59,");","}")</f>
        <v xml:space="preserve">    .a5Normal{color: var(--a5Normal);}</v>
      </c>
      <c r="J59" s="48" t="str">
        <f t="shared" ref="J59" si="27">_xlfn.CONCAT("    .",B55,B59,"Bg","{","background-color: var(--",B55,B59,");","}")</f>
        <v xml:space="preserve">    .a5NormalBg{background-color: var(--a5Normal);}</v>
      </c>
    </row>
    <row r="60" spans="2:10" x14ac:dyDescent="0.45">
      <c r="B60" s="27" t="s">
        <v>29</v>
      </c>
      <c r="C60" s="48">
        <f>ROUND(C59*(1+F60),0)</f>
        <v>75</v>
      </c>
      <c r="D60" s="48">
        <f>ROUND(D59*(1+F60),0)</f>
        <v>115</v>
      </c>
      <c r="E60" s="48">
        <f>ROUND(E59*(1+F60),0)</f>
        <v>110</v>
      </c>
      <c r="F60" s="47">
        <v>-0.25</v>
      </c>
      <c r="H60" s="48" t="str">
        <f>_xlfn.CONCAT("        --",B55,,B60,": rgba(",C60,", ",D60,", ",E60,", ","1.00",");")</f>
        <v xml:space="preserve">        --a5Dark: rgba(75, 115, 110, 1.00);</v>
      </c>
      <c r="I60" s="48" t="str">
        <f>_xlfn.CONCAT("    .",B55,B60,"{","color: var(--",B55,B60,");","}")</f>
        <v xml:space="preserve">    .a5Dark{color: var(--a5Dark);}</v>
      </c>
      <c r="J60" s="48" t="str">
        <f t="shared" ref="J60" si="28">_xlfn.CONCAT("    .",B55,B60,"Bg","{","background-color: var(--",B55,B60,");","}")</f>
        <v xml:space="preserve">    .a5DarkBg{background-color: var(--a5Dark);}</v>
      </c>
    </row>
    <row r="61" spans="2:10" x14ac:dyDescent="0.45">
      <c r="B61" s="27" t="s">
        <v>30</v>
      </c>
      <c r="C61" s="48">
        <f>ROUND(C59*(1+F61),0)</f>
        <v>50</v>
      </c>
      <c r="D61" s="48">
        <f>ROUND(D59*(1+F61),0)</f>
        <v>77</v>
      </c>
      <c r="E61" s="48">
        <f>ROUND(E59*(1+F61),0)</f>
        <v>74</v>
      </c>
      <c r="F61" s="47">
        <v>-0.5</v>
      </c>
      <c r="H61" s="48" t="str">
        <f>_xlfn.CONCAT("        --",B55,,B61,": rgba(",C61,", ",D61,", ",E61,", ","1.00",");")</f>
        <v xml:space="preserve">        --a5Darker: rgba(50, 77, 74, 1.00);</v>
      </c>
      <c r="I61" s="48" t="str">
        <f>_xlfn.CONCAT("    .",B55,B61,"{","color: var(--",B55,B61,");","}")</f>
        <v xml:space="preserve">    .a5Darker{color: var(--a5Darker);}</v>
      </c>
      <c r="J61" s="48" t="str">
        <f t="shared" ref="J61" si="29">_xlfn.CONCAT("    .",B55,B61,"Bg","{","background-color: var(--",B55,B61,");","}")</f>
        <v xml:space="preserve">    .a5DarkerBg{background-color: var(--a5Darker);}</v>
      </c>
    </row>
    <row r="62" spans="2:10" x14ac:dyDescent="0.45">
      <c r="B62" s="27" t="s">
        <v>31</v>
      </c>
      <c r="C62" s="48">
        <f>ROUND(C59*(1+F62),0)</f>
        <v>25</v>
      </c>
      <c r="D62" s="48">
        <f>ROUND(D59*(1+F62),0)</f>
        <v>38</v>
      </c>
      <c r="E62" s="48">
        <f>ROUND(E59*(1+F62),0)</f>
        <v>37</v>
      </c>
      <c r="F62" s="47">
        <v>-0.75</v>
      </c>
      <c r="H62" s="48" t="str">
        <f>_xlfn.CONCAT("        --",B55,,B62,": rgba(",C62,", ",D62,", ",E62,", ","1.00",");")</f>
        <v xml:space="preserve">        --a5Darkest: rgba(25, 38, 37, 1.00);</v>
      </c>
      <c r="I62" s="48" t="str">
        <f>_xlfn.CONCAT("    .",B55,B62,"{","color: var(--",B55,B62,");","}")</f>
        <v xml:space="preserve">    .a5Darkest{color: var(--a5Darkest);}</v>
      </c>
      <c r="J62" s="48" t="str">
        <f t="shared" ref="J62" si="30">_xlfn.CONCAT("    .",B55,B62,"Bg","{","background-color: var(--",B55,B62,");","}")</f>
        <v xml:space="preserve">    .a5DarkestBg{background-color: var(--a5Darkest);}</v>
      </c>
    </row>
    <row r="63" spans="2:10" x14ac:dyDescent="0.45">
      <c r="B63" s="46" t="s">
        <v>43</v>
      </c>
      <c r="C63" s="49" t="s">
        <v>33</v>
      </c>
      <c r="D63" s="49" t="s">
        <v>34</v>
      </c>
      <c r="E63" s="49" t="s">
        <v>35</v>
      </c>
      <c r="F63" s="49" t="s">
        <v>36</v>
      </c>
      <c r="H63" s="49"/>
      <c r="I63" s="49"/>
      <c r="J63" s="49"/>
    </row>
    <row r="64" spans="2:10" x14ac:dyDescent="0.45">
      <c r="B64" s="27" t="s">
        <v>25</v>
      </c>
      <c r="C64" s="48">
        <f>ROUND(255-((255-C67)*F64),0)</f>
        <v>238</v>
      </c>
      <c r="D64" s="48">
        <f>ROUND(255-((255-D67)*F64),0)</f>
        <v>220</v>
      </c>
      <c r="E64" s="48">
        <f>ROUND(255-((255-E67)*F64),0)</f>
        <v>216</v>
      </c>
      <c r="F64" s="47">
        <v>0.25</v>
      </c>
      <c r="H64" s="48" t="str">
        <f>_xlfn.CONCAT("        --",B63,,B64,": rgba(",C64,", ",D64,", ",E64,", ","1.00",");")</f>
        <v xml:space="preserve">        --a6Lightest: rgba(238, 220, 216, 1.00);</v>
      </c>
      <c r="I64" s="48" t="str">
        <f>_xlfn.CONCAT("    .",B63,B64,"{","color: var(--",B63,B64,");","}")</f>
        <v xml:space="preserve">    .a6Lightest{color: var(--a6Lightest);}</v>
      </c>
      <c r="J64" s="48" t="str">
        <f t="shared" ref="J64" si="31">_xlfn.CONCAT("    .",B63,B64,"Bg","{","background-color: var(--",B63,B64,");","}")</f>
        <v xml:space="preserve">    .a6LightestBg{background-color: var(--a6Lightest);}</v>
      </c>
    </row>
    <row r="65" spans="2:10" x14ac:dyDescent="0.45">
      <c r="B65" s="27" t="s">
        <v>26</v>
      </c>
      <c r="C65" s="48">
        <f>ROUND(255-((255-C67)*F65),0)</f>
        <v>221</v>
      </c>
      <c r="D65" s="48">
        <f>ROUND(255-((255-D67)*F65),0)</f>
        <v>185</v>
      </c>
      <c r="E65" s="48">
        <f>ROUND(255-((255-E67)*F65),0)</f>
        <v>178</v>
      </c>
      <c r="F65" s="47">
        <v>0.5</v>
      </c>
      <c r="H65" s="48" t="str">
        <f>_xlfn.CONCAT("        --",B63,,B65,": rgba(",C65,", ",D65,", ",E65,", ","1.00",");")</f>
        <v xml:space="preserve">        --a6Lighter: rgba(221, 185, 178, 1.00);</v>
      </c>
      <c r="I65" s="48" t="str">
        <f>_xlfn.CONCAT("    .",B63,B65,"{","color: var(--",B63,B65,");","}")</f>
        <v xml:space="preserve">    .a6Lighter{color: var(--a6Lighter);}</v>
      </c>
      <c r="J65" s="48" t="str">
        <f t="shared" ref="J65" si="32">_xlfn.CONCAT("    .",B63,B65,"Bg","{","background-color: var(--",B63,B65,");","}")</f>
        <v xml:space="preserve">    .a6LighterBg{background-color: var(--a6Lighter);}</v>
      </c>
    </row>
    <row r="66" spans="2:10" x14ac:dyDescent="0.45">
      <c r="B66" s="27" t="s">
        <v>27</v>
      </c>
      <c r="C66" s="48">
        <f>ROUND(255-((255-C67)*F66),0)</f>
        <v>203</v>
      </c>
      <c r="D66" s="48">
        <f>ROUND(255-((255-D67)*F66),0)</f>
        <v>149</v>
      </c>
      <c r="E66" s="48">
        <f>ROUND(255-((255-E67)*F66),0)</f>
        <v>139</v>
      </c>
      <c r="F66" s="47">
        <v>0.75</v>
      </c>
      <c r="H66" s="48" t="str">
        <f>_xlfn.CONCAT("        --",B63,,B66,": rgba(",C66,", ",D66,", ",E66,", ","1.00",");")</f>
        <v xml:space="preserve">        --a6Light: rgba(203, 149, 139, 1.00);</v>
      </c>
      <c r="I66" s="48" t="str">
        <f>_xlfn.CONCAT("    .",B63,B66,"{","color: var(--",B63,B66,");","}")</f>
        <v xml:space="preserve">    .a6Light{color: var(--a6Light);}</v>
      </c>
      <c r="J66" s="48" t="str">
        <f t="shared" ref="J66" si="33">_xlfn.CONCAT("    .",B63,B66,"Bg","{","background-color: var(--",B63,B66,");","}")</f>
        <v xml:space="preserve">    .a6LightBg{background-color: var(--a6Light);}</v>
      </c>
    </row>
    <row r="67" spans="2:10" x14ac:dyDescent="0.45">
      <c r="B67" s="27" t="s">
        <v>28</v>
      </c>
      <c r="C67" s="50">
        <f>VLOOKUP(B63,$B$3:$E$21,2,FALSE)</f>
        <v>186</v>
      </c>
      <c r="D67" s="50">
        <f>VLOOKUP(B63,$B$3:$E$21,3,FALSE)</f>
        <v>114</v>
      </c>
      <c r="E67" s="50">
        <f>VLOOKUP(B63,$B$3:$E$21,4,FALSE)</f>
        <v>100</v>
      </c>
      <c r="F67" s="47">
        <v>0</v>
      </c>
      <c r="H67" s="48" t="str">
        <f>_xlfn.CONCAT("        --",B63,,B67,": rgba(",C67,", ",D67,", ",E67,", ","1.00",");")</f>
        <v xml:space="preserve">        --a6Normal: rgba(186, 114, 100, 1.00);</v>
      </c>
      <c r="I67" s="48" t="str">
        <f>_xlfn.CONCAT("    .",B63,B67,"{","color: var(--",B63,B67,");","}")</f>
        <v xml:space="preserve">    .a6Normal{color: var(--a6Normal);}</v>
      </c>
      <c r="J67" s="48" t="str">
        <f t="shared" ref="J67" si="34">_xlfn.CONCAT("    .",B63,B67,"Bg","{","background-color: var(--",B63,B67,");","}")</f>
        <v xml:space="preserve">    .a6NormalBg{background-color: var(--a6Normal);}</v>
      </c>
    </row>
    <row r="68" spans="2:10" x14ac:dyDescent="0.45">
      <c r="B68" s="27" t="s">
        <v>29</v>
      </c>
      <c r="C68" s="48">
        <f>ROUND(C67*(1+F68),0)</f>
        <v>140</v>
      </c>
      <c r="D68" s="48">
        <f>ROUND(D67*(1+F68),0)</f>
        <v>86</v>
      </c>
      <c r="E68" s="48">
        <f>ROUND(E67*(1+F68),0)</f>
        <v>75</v>
      </c>
      <c r="F68" s="47">
        <v>-0.25</v>
      </c>
      <c r="H68" s="48" t="str">
        <f>_xlfn.CONCAT("        --",B63,,B68,": rgba(",C68,", ",D68,", ",E68,", ","1.00",");")</f>
        <v xml:space="preserve">        --a6Dark: rgba(140, 86, 75, 1.00);</v>
      </c>
      <c r="I68" s="48" t="str">
        <f>_xlfn.CONCAT("    .",B63,B68,"{","color: var(--",B63,B68,");","}")</f>
        <v xml:space="preserve">    .a6Dark{color: var(--a6Dark);}</v>
      </c>
      <c r="J68" s="48" t="str">
        <f t="shared" ref="J68" si="35">_xlfn.CONCAT("    .",B63,B68,"Bg","{","background-color: var(--",B63,B68,");","}")</f>
        <v xml:space="preserve">    .a6DarkBg{background-color: var(--a6Dark);}</v>
      </c>
    </row>
    <row r="69" spans="2:10" x14ac:dyDescent="0.45">
      <c r="B69" s="27" t="s">
        <v>30</v>
      </c>
      <c r="C69" s="48">
        <f>ROUND(C67*(1+F69),0)</f>
        <v>93</v>
      </c>
      <c r="D69" s="48">
        <f>ROUND(D67*(1+F69),0)</f>
        <v>57</v>
      </c>
      <c r="E69" s="48">
        <f>ROUND(E67*(1+F69),0)</f>
        <v>50</v>
      </c>
      <c r="F69" s="47">
        <v>-0.5</v>
      </c>
      <c r="H69" s="48" t="str">
        <f>_xlfn.CONCAT("        --",B63,,B69,": rgba(",C69,", ",D69,", ",E69,", ","1.00",");")</f>
        <v xml:space="preserve">        --a6Darker: rgba(93, 57, 50, 1.00);</v>
      </c>
      <c r="I69" s="48" t="str">
        <f>_xlfn.CONCAT("    .",B63,B69,"{","color: var(--",B63,B69,");","}")</f>
        <v xml:space="preserve">    .a6Darker{color: var(--a6Darker);}</v>
      </c>
      <c r="J69" s="48" t="str">
        <f t="shared" ref="J69" si="36">_xlfn.CONCAT("    .",B63,B69,"Bg","{","background-color: var(--",B63,B69,");","}")</f>
        <v xml:space="preserve">    .a6DarkerBg{background-color: var(--a6Darker);}</v>
      </c>
    </row>
    <row r="70" spans="2:10" x14ac:dyDescent="0.45">
      <c r="B70" s="27" t="s">
        <v>31</v>
      </c>
      <c r="C70" s="48">
        <f>ROUND(C67*(1+F70),0)</f>
        <v>47</v>
      </c>
      <c r="D70" s="48">
        <f>ROUND(D67*(1+F70),0)</f>
        <v>29</v>
      </c>
      <c r="E70" s="48">
        <f>ROUND(E67*(1+F70),0)</f>
        <v>25</v>
      </c>
      <c r="F70" s="47">
        <v>-0.75</v>
      </c>
      <c r="H70" s="48" t="str">
        <f>_xlfn.CONCAT("        --",B63,,B70,": rgba(",C70,", ",D70,", ",E70,", ","1.00",");")</f>
        <v xml:space="preserve">        --a6Darkest: rgba(47, 29, 25, 1.00);</v>
      </c>
      <c r="I70" s="48" t="str">
        <f>_xlfn.CONCAT("    .",B63,B70,"{","color: var(--",B63,B70,");","}")</f>
        <v xml:space="preserve">    .a6Darkest{color: var(--a6Darkest);}</v>
      </c>
      <c r="J70" s="48" t="str">
        <f t="shared" ref="J70" si="37">_xlfn.CONCAT("    .",B63,B70,"Bg","{","background-color: var(--",B63,B70,");","}")</f>
        <v xml:space="preserve">    .a6DarkestBg{background-color: var(--a6Darkest);}</v>
      </c>
    </row>
    <row r="71" spans="2:10" x14ac:dyDescent="0.45">
      <c r="B71" s="46" t="s">
        <v>44</v>
      </c>
      <c r="C71" s="49" t="s">
        <v>33</v>
      </c>
      <c r="D71" s="49" t="s">
        <v>34</v>
      </c>
      <c r="E71" s="49" t="s">
        <v>35</v>
      </c>
      <c r="F71" s="49" t="s">
        <v>36</v>
      </c>
      <c r="H71" s="49"/>
      <c r="I71" s="49"/>
      <c r="J71" s="49"/>
    </row>
    <row r="72" spans="2:10" x14ac:dyDescent="0.45">
      <c r="B72" s="27" t="s">
        <v>25</v>
      </c>
      <c r="C72" s="48">
        <f>ROUND(255-((255-C75)*F72),0)</f>
        <v>235</v>
      </c>
      <c r="D72" s="48">
        <f>ROUND(255-((255-D75)*F72),0)</f>
        <v>228</v>
      </c>
      <c r="E72" s="48">
        <f>ROUND(255-((255-E75)*F72),0)</f>
        <v>211</v>
      </c>
      <c r="F72" s="47">
        <v>0.25</v>
      </c>
      <c r="H72" s="48" t="str">
        <f>_xlfn.CONCAT("        --",B71,,B72,": rgba(",C72,", ",D72,", ",E72,", ","1.00",");")</f>
        <v xml:space="preserve">        --a7Lightest: rgba(235, 228, 211, 1.00);</v>
      </c>
      <c r="I72" s="48" t="str">
        <f>_xlfn.CONCAT("    .",B71,B72,"{","color: var(--",B71,B72,");","}")</f>
        <v xml:space="preserve">    .a7Lightest{color: var(--a7Lightest);}</v>
      </c>
      <c r="J72" s="48" t="str">
        <f t="shared" ref="J72" si="38">_xlfn.CONCAT("    .",B71,B72,"Bg","{","background-color: var(--",B71,B72,");","}")</f>
        <v xml:space="preserve">    .a7LightestBg{background-color: var(--a7Lightest);}</v>
      </c>
    </row>
    <row r="73" spans="2:10" x14ac:dyDescent="0.45">
      <c r="B73" s="27" t="s">
        <v>26</v>
      </c>
      <c r="C73" s="48">
        <f>ROUND(255-((255-C75)*F73),0)</f>
        <v>214</v>
      </c>
      <c r="D73" s="48">
        <f>ROUND(255-((255-D75)*F73),0)</f>
        <v>201</v>
      </c>
      <c r="E73" s="48">
        <f>ROUND(255-((255-E75)*F73),0)</f>
        <v>168</v>
      </c>
      <c r="F73" s="47">
        <v>0.5</v>
      </c>
      <c r="H73" s="48" t="str">
        <f>_xlfn.CONCAT("        --",B71,,B73,": rgba(",C73,", ",D73,", ",E73,", ","1.00",");")</f>
        <v xml:space="preserve">        --a7Lighter: rgba(214, 201, 168, 1.00);</v>
      </c>
      <c r="I73" s="48" t="str">
        <f>_xlfn.CONCAT("    .",B71,B73,"{","color: var(--",B71,B73,");","}")</f>
        <v xml:space="preserve">    .a7Lighter{color: var(--a7Lighter);}</v>
      </c>
      <c r="J73" s="48" t="str">
        <f t="shared" ref="J73" si="39">_xlfn.CONCAT("    .",B71,B73,"Bg","{","background-color: var(--",B71,B73,");","}")</f>
        <v xml:space="preserve">    .a7LighterBg{background-color: var(--a7Lighter);}</v>
      </c>
    </row>
    <row r="74" spans="2:10" x14ac:dyDescent="0.45">
      <c r="B74" s="27" t="s">
        <v>27</v>
      </c>
      <c r="C74" s="48">
        <f>ROUND(255-((255-C75)*F74),0)</f>
        <v>194</v>
      </c>
      <c r="D74" s="48">
        <f>ROUND(255-((255-D75)*F74),0)</f>
        <v>174</v>
      </c>
      <c r="E74" s="48">
        <f>ROUND(255-((255-E75)*F74),0)</f>
        <v>124</v>
      </c>
      <c r="F74" s="47">
        <v>0.75</v>
      </c>
      <c r="H74" s="48" t="str">
        <f>_xlfn.CONCAT("        --",B71,,B74,": rgba(",C74,", ",D74,", ",E74,", ","1.00",");")</f>
        <v xml:space="preserve">        --a7Light: rgba(194, 174, 124, 1.00);</v>
      </c>
      <c r="I74" s="48" t="str">
        <f>_xlfn.CONCAT("    .",B71,B74,"{","color: var(--",B71,B74,");","}")</f>
        <v xml:space="preserve">    .a7Light{color: var(--a7Light);}</v>
      </c>
      <c r="J74" s="48" t="str">
        <f t="shared" ref="J74" si="40">_xlfn.CONCAT("    .",B71,B74,"Bg","{","background-color: var(--",B71,B74,");","}")</f>
        <v xml:space="preserve">    .a7LightBg{background-color: var(--a7Light);}</v>
      </c>
    </row>
    <row r="75" spans="2:10" x14ac:dyDescent="0.45">
      <c r="B75" s="27" t="s">
        <v>28</v>
      </c>
      <c r="C75" s="50">
        <f>VLOOKUP(B71,$B$3:$E$21,2,FALSE)</f>
        <v>173</v>
      </c>
      <c r="D75" s="50">
        <f>VLOOKUP(B71,$B$3:$E$21,3,FALSE)</f>
        <v>147</v>
      </c>
      <c r="E75" s="50">
        <f>VLOOKUP(B71,$B$3:$E$21,4,FALSE)</f>
        <v>80</v>
      </c>
      <c r="F75" s="47">
        <v>0</v>
      </c>
      <c r="H75" s="48" t="str">
        <f>_xlfn.CONCAT("        --",B71,,B75,": rgba(",C75,", ",D75,", ",E75,", ","1.00",");")</f>
        <v xml:space="preserve">        --a7Normal: rgba(173, 147, 80, 1.00);</v>
      </c>
      <c r="I75" s="48" t="str">
        <f>_xlfn.CONCAT("    .",B71,B75,"{","color: var(--",B71,B75,");","}")</f>
        <v xml:space="preserve">    .a7Normal{color: var(--a7Normal);}</v>
      </c>
      <c r="J75" s="48" t="str">
        <f t="shared" ref="J75" si="41">_xlfn.CONCAT("    .",B71,B75,"Bg","{","background-color: var(--",B71,B75,");","}")</f>
        <v xml:space="preserve">    .a7NormalBg{background-color: var(--a7Normal);}</v>
      </c>
    </row>
    <row r="76" spans="2:10" x14ac:dyDescent="0.45">
      <c r="B76" s="27" t="s">
        <v>29</v>
      </c>
      <c r="C76" s="48">
        <f>ROUND(C75*(1+F76),0)</f>
        <v>130</v>
      </c>
      <c r="D76" s="48">
        <f>ROUND(D75*(1+F76),0)</f>
        <v>110</v>
      </c>
      <c r="E76" s="48">
        <f>ROUND(E75*(1+F76),0)</f>
        <v>60</v>
      </c>
      <c r="F76" s="47">
        <v>-0.25</v>
      </c>
      <c r="H76" s="48" t="str">
        <f>_xlfn.CONCAT("        --",B71,,B76,": rgba(",C76,", ",D76,", ",E76,", ","1.00",");")</f>
        <v xml:space="preserve">        --a7Dark: rgba(130, 110, 60, 1.00);</v>
      </c>
      <c r="I76" s="48" t="str">
        <f>_xlfn.CONCAT("    .",B71,B76,"{","color: var(--",B71,B76,");","}")</f>
        <v xml:space="preserve">    .a7Dark{color: var(--a7Dark);}</v>
      </c>
      <c r="J76" s="48" t="str">
        <f t="shared" ref="J76" si="42">_xlfn.CONCAT("    .",B71,B76,"Bg","{","background-color: var(--",B71,B76,");","}")</f>
        <v xml:space="preserve">    .a7DarkBg{background-color: var(--a7Dark);}</v>
      </c>
    </row>
    <row r="77" spans="2:10" x14ac:dyDescent="0.45">
      <c r="B77" s="27" t="s">
        <v>30</v>
      </c>
      <c r="C77" s="48">
        <f>ROUND(C75*(1+F77),0)</f>
        <v>87</v>
      </c>
      <c r="D77" s="48">
        <f>ROUND(D75*(1+F77),0)</f>
        <v>74</v>
      </c>
      <c r="E77" s="48">
        <f>ROUND(E75*(1+F77),0)</f>
        <v>40</v>
      </c>
      <c r="F77" s="47">
        <v>-0.5</v>
      </c>
      <c r="H77" s="48" t="str">
        <f>_xlfn.CONCAT("        --",B71,,B77,": rgba(",C77,", ",D77,", ",E77,", ","1.00",");")</f>
        <v xml:space="preserve">        --a7Darker: rgba(87, 74, 40, 1.00);</v>
      </c>
      <c r="I77" s="48" t="str">
        <f>_xlfn.CONCAT("    .",B71,B77,"{","color: var(--",B71,B77,");","}")</f>
        <v xml:space="preserve">    .a7Darker{color: var(--a7Darker);}</v>
      </c>
      <c r="J77" s="48" t="str">
        <f t="shared" ref="J77" si="43">_xlfn.CONCAT("    .",B71,B77,"Bg","{","background-color: var(--",B71,B77,");","}")</f>
        <v xml:space="preserve">    .a7DarkerBg{background-color: var(--a7Darker);}</v>
      </c>
    </row>
    <row r="78" spans="2:10" x14ac:dyDescent="0.45">
      <c r="B78" s="27" t="s">
        <v>31</v>
      </c>
      <c r="C78" s="48">
        <f>ROUND(C75*(1+F78),0)</f>
        <v>43</v>
      </c>
      <c r="D78" s="48">
        <f>ROUND(D75*(1+F78),0)</f>
        <v>37</v>
      </c>
      <c r="E78" s="48">
        <f>ROUND(E75*(1+F78),0)</f>
        <v>20</v>
      </c>
      <c r="F78" s="47">
        <v>-0.75</v>
      </c>
      <c r="H78" s="48" t="str">
        <f>_xlfn.CONCAT("        --",B71,,B78,": rgba(",C78,", ",D78,", ",E78,", ","1.00",");")</f>
        <v xml:space="preserve">        --a7Darkest: rgba(43, 37, 20, 1.00);</v>
      </c>
      <c r="I78" s="48" t="str">
        <f>_xlfn.CONCAT("    .",B71,B78,"{","color: var(--",B71,B78,");","}")</f>
        <v xml:space="preserve">    .a7Darkest{color: var(--a7Darkest);}</v>
      </c>
      <c r="J78" s="48" t="str">
        <f t="shared" ref="J78" si="44">_xlfn.CONCAT("    .",B71,B78,"Bg","{","background-color: var(--",B71,B78,");","}")</f>
        <v xml:space="preserve">    .a7DarkestBg{background-color: var(--a7Darkest);}</v>
      </c>
    </row>
    <row r="79" spans="2:10" x14ac:dyDescent="0.45">
      <c r="B79" s="46" t="s">
        <v>45</v>
      </c>
      <c r="C79" s="49" t="s">
        <v>33</v>
      </c>
      <c r="D79" s="49" t="s">
        <v>34</v>
      </c>
      <c r="E79" s="49" t="s">
        <v>35</v>
      </c>
      <c r="F79" s="49" t="s">
        <v>36</v>
      </c>
      <c r="H79" s="49"/>
      <c r="I79" s="49"/>
      <c r="J79" s="49"/>
    </row>
    <row r="80" spans="2:10" x14ac:dyDescent="0.45">
      <c r="B80" s="27" t="s">
        <v>25</v>
      </c>
      <c r="C80" s="48">
        <f>ROUND(255-((255-C83)*F80),0)</f>
        <v>236</v>
      </c>
      <c r="D80" s="48">
        <f>ROUND(255-((255-D83)*F80),0)</f>
        <v>222</v>
      </c>
      <c r="E80" s="48">
        <f>ROUND(255-((255-E83)*F80),0)</f>
        <v>217</v>
      </c>
      <c r="F80" s="47">
        <v>0.25</v>
      </c>
      <c r="H80" s="48" t="str">
        <f>_xlfn.CONCAT("        --",B79,,B80,": rgba(",C80,", ",D80,", ",E80,", ","1.00",");")</f>
        <v xml:space="preserve">        --a8Lightest: rgba(236, 222, 217, 1.00);</v>
      </c>
      <c r="I80" s="48" t="str">
        <f>_xlfn.CONCAT("    .",B79,B80,"{","color: var(--",B79,B80,");","}")</f>
        <v xml:space="preserve">    .a8Lightest{color: var(--a8Lightest);}</v>
      </c>
      <c r="J80" s="48" t="str">
        <f t="shared" ref="J80" si="45">_xlfn.CONCAT("    .",B79,B80,"Bg","{","background-color: var(--",B79,B80,");","}")</f>
        <v xml:space="preserve">    .a8LightestBg{background-color: var(--a8Lightest);}</v>
      </c>
    </row>
    <row r="81" spans="2:10" x14ac:dyDescent="0.45">
      <c r="B81" s="27" t="s">
        <v>26</v>
      </c>
      <c r="C81" s="48">
        <f>ROUND(255-((255-C83)*F81),0)</f>
        <v>217</v>
      </c>
      <c r="D81" s="48">
        <f>ROUND(255-((255-D83)*F81),0)</f>
        <v>188</v>
      </c>
      <c r="E81" s="48">
        <f>ROUND(255-((255-E83)*F81),0)</f>
        <v>178</v>
      </c>
      <c r="F81" s="47">
        <v>0.5</v>
      </c>
      <c r="H81" s="48" t="str">
        <f>_xlfn.CONCAT("        --",B79,,B81,": rgba(",C81,", ",D81,", ",E81,", ","1.00",");")</f>
        <v xml:space="preserve">        --a8Lighter: rgba(217, 188, 178, 1.00);</v>
      </c>
      <c r="I81" s="48" t="str">
        <f>_xlfn.CONCAT("    .",B79,B81,"{","color: var(--",B79,B81,");","}")</f>
        <v xml:space="preserve">    .a8Lighter{color: var(--a8Lighter);}</v>
      </c>
      <c r="J81" s="48" t="str">
        <f t="shared" ref="J81" si="46">_xlfn.CONCAT("    .",B79,B81,"Bg","{","background-color: var(--",B79,B81,");","}")</f>
        <v xml:space="preserve">    .a8LighterBg{background-color: var(--a8Lighter);}</v>
      </c>
    </row>
    <row r="82" spans="2:10" x14ac:dyDescent="0.45">
      <c r="B82" s="27" t="s">
        <v>27</v>
      </c>
      <c r="C82" s="48">
        <f>ROUND(255-((255-C83)*F82),0)</f>
        <v>197</v>
      </c>
      <c r="D82" s="48">
        <f>ROUND(255-((255-D83)*F82),0)</f>
        <v>155</v>
      </c>
      <c r="E82" s="48">
        <f>ROUND(255-((255-E83)*F82),0)</f>
        <v>140</v>
      </c>
      <c r="F82" s="47">
        <v>0.75</v>
      </c>
      <c r="H82" s="48" t="str">
        <f>_xlfn.CONCAT("        --",B79,,B82,": rgba(",C82,", ",D82,", ",E82,", ","1.00",");")</f>
        <v xml:space="preserve">        --a8Light: rgba(197, 155, 140, 1.00);</v>
      </c>
      <c r="I82" s="48" t="str">
        <f>_xlfn.CONCAT("    .",B79,B82,"{","color: var(--",B79,B82,");","}")</f>
        <v xml:space="preserve">    .a8Light{color: var(--a8Light);}</v>
      </c>
      <c r="J82" s="48" t="str">
        <f t="shared" ref="J82" si="47">_xlfn.CONCAT("    .",B79,B82,"Bg","{","background-color: var(--",B79,B82,");","}")</f>
        <v xml:space="preserve">    .a8LightBg{background-color: var(--a8Light);}</v>
      </c>
    </row>
    <row r="83" spans="2:10" x14ac:dyDescent="0.45">
      <c r="B83" s="27" t="s">
        <v>28</v>
      </c>
      <c r="C83" s="50">
        <f>VLOOKUP(B79,$B$3:$E$21,2,FALSE)</f>
        <v>178</v>
      </c>
      <c r="D83" s="50">
        <f>VLOOKUP(B79,$B$3:$E$21,3,FALSE)</f>
        <v>121</v>
      </c>
      <c r="E83" s="50">
        <f>VLOOKUP(B79,$B$3:$E$21,4,FALSE)</f>
        <v>101</v>
      </c>
      <c r="F83" s="47">
        <v>0</v>
      </c>
      <c r="H83" s="48" t="str">
        <f>_xlfn.CONCAT("        --",B79,,B83,": rgba(",C83,", ",D83,", ",E83,", ","1.00",");")</f>
        <v xml:space="preserve">        --a8Normal: rgba(178, 121, 101, 1.00);</v>
      </c>
      <c r="I83" s="48" t="str">
        <f>_xlfn.CONCAT("    .",B79,B83,"{","color: var(--",B79,B83,");","}")</f>
        <v xml:space="preserve">    .a8Normal{color: var(--a8Normal);}</v>
      </c>
      <c r="J83" s="48" t="str">
        <f t="shared" ref="J83" si="48">_xlfn.CONCAT("    .",B79,B83,"Bg","{","background-color: var(--",B79,B83,");","}")</f>
        <v xml:space="preserve">    .a8NormalBg{background-color: var(--a8Normal);}</v>
      </c>
    </row>
    <row r="84" spans="2:10" x14ac:dyDescent="0.45">
      <c r="B84" s="27" t="s">
        <v>29</v>
      </c>
      <c r="C84" s="48">
        <f>ROUND(C83*(1+F84),0)</f>
        <v>134</v>
      </c>
      <c r="D84" s="48">
        <f>ROUND(D83*(1+F84),0)</f>
        <v>91</v>
      </c>
      <c r="E84" s="48">
        <f>ROUND(E83*(1+F84),0)</f>
        <v>76</v>
      </c>
      <c r="F84" s="47">
        <v>-0.25</v>
      </c>
      <c r="H84" s="48" t="str">
        <f>_xlfn.CONCAT("        --",B79,,B84,": rgba(",C84,", ",D84,", ",E84,", ","1.00",");")</f>
        <v xml:space="preserve">        --a8Dark: rgba(134, 91, 76, 1.00);</v>
      </c>
      <c r="I84" s="48" t="str">
        <f>_xlfn.CONCAT("    .",B79,B84,"{","color: var(--",B79,B84,");","}")</f>
        <v xml:space="preserve">    .a8Dark{color: var(--a8Dark);}</v>
      </c>
      <c r="J84" s="48" t="str">
        <f t="shared" ref="J84" si="49">_xlfn.CONCAT("    .",B79,B84,"Bg","{","background-color: var(--",B79,B84,");","}")</f>
        <v xml:space="preserve">    .a8DarkBg{background-color: var(--a8Dark);}</v>
      </c>
    </row>
    <row r="85" spans="2:10" x14ac:dyDescent="0.45">
      <c r="B85" s="27" t="s">
        <v>30</v>
      </c>
      <c r="C85" s="48">
        <f>ROUND(C83*(1+F85),0)</f>
        <v>89</v>
      </c>
      <c r="D85" s="48">
        <f>ROUND(D83*(1+F85),0)</f>
        <v>61</v>
      </c>
      <c r="E85" s="48">
        <f>ROUND(E83*(1+F85),0)</f>
        <v>51</v>
      </c>
      <c r="F85" s="47">
        <v>-0.5</v>
      </c>
      <c r="H85" s="48" t="str">
        <f>_xlfn.CONCAT("        --",B79,,B85,": rgba(",C85,", ",D85,", ",E85,", ","1.00",");")</f>
        <v xml:space="preserve">        --a8Darker: rgba(89, 61, 51, 1.00);</v>
      </c>
      <c r="I85" s="48" t="str">
        <f>_xlfn.CONCAT("    .",B79,B85,"{","color: var(--",B79,B85,");","}")</f>
        <v xml:space="preserve">    .a8Darker{color: var(--a8Darker);}</v>
      </c>
      <c r="J85" s="48" t="str">
        <f t="shared" ref="J85" si="50">_xlfn.CONCAT("    .",B79,B85,"Bg","{","background-color: var(--",B79,B85,");","}")</f>
        <v xml:space="preserve">    .a8DarkerBg{background-color: var(--a8Darker);}</v>
      </c>
    </row>
    <row r="86" spans="2:10" x14ac:dyDescent="0.45">
      <c r="B86" s="27" t="s">
        <v>31</v>
      </c>
      <c r="C86" s="48">
        <f>ROUND(C83*(1+F86),0)</f>
        <v>45</v>
      </c>
      <c r="D86" s="48">
        <f>ROUND(D83*(1+F86),0)</f>
        <v>30</v>
      </c>
      <c r="E86" s="48">
        <f>ROUND(E83*(1+F86),0)</f>
        <v>25</v>
      </c>
      <c r="F86" s="47">
        <v>-0.75</v>
      </c>
      <c r="H86" s="48" t="str">
        <f>_xlfn.CONCAT("        --",B79,,B86,": rgba(",C86,", ",D86,", ",E86,", ","1.00",");")</f>
        <v xml:space="preserve">        --a8Darkest: rgba(45, 30, 25, 1.00);</v>
      </c>
      <c r="I86" s="48" t="str">
        <f>_xlfn.CONCAT("    .",B79,B86,"{","color: var(--",B79,B86,");","}")</f>
        <v xml:space="preserve">    .a8Darkest{color: var(--a8Darkest);}</v>
      </c>
      <c r="J86" s="48" t="str">
        <f t="shared" ref="J86" si="51">_xlfn.CONCAT("    .",B79,B86,"Bg","{","background-color: var(--",B79,B86,");","}")</f>
        <v xml:space="preserve">    .a8DarkestBg{background-color: var(--a8Darkest);}</v>
      </c>
    </row>
    <row r="87" spans="2:10" x14ac:dyDescent="0.45">
      <c r="B87" s="46" t="s">
        <v>46</v>
      </c>
      <c r="C87" s="49" t="s">
        <v>33</v>
      </c>
      <c r="D87" s="49" t="s">
        <v>34</v>
      </c>
      <c r="E87" s="49" t="s">
        <v>35</v>
      </c>
      <c r="F87" s="49" t="s">
        <v>36</v>
      </c>
      <c r="H87" s="49"/>
      <c r="I87" s="49"/>
      <c r="J87" s="49"/>
    </row>
    <row r="88" spans="2:10" x14ac:dyDescent="0.45">
      <c r="B88" s="27" t="s">
        <v>25</v>
      </c>
      <c r="C88" s="48">
        <f>ROUND(255-((255-C91)*F88),0)</f>
        <v>220</v>
      </c>
      <c r="D88" s="48">
        <f>ROUND(255-((255-D91)*F88),0)</f>
        <v>224</v>
      </c>
      <c r="E88" s="48">
        <f>ROUND(255-((255-E91)*F88),0)</f>
        <v>230</v>
      </c>
      <c r="F88" s="47">
        <v>0.25</v>
      </c>
      <c r="H88" s="48" t="str">
        <f>_xlfn.CONCAT("        --",B87,,B88,": rgba(",C88,", ",D88,", ",E88,", ","1.00",");")</f>
        <v xml:space="preserve">        --a9Lightest: rgba(220, 224, 230, 1.00);</v>
      </c>
      <c r="I88" s="48" t="str">
        <f>_xlfn.CONCAT("    .",B87,B88,"{","color: var(--",B87,B88,");","}")</f>
        <v xml:space="preserve">    .a9Lightest{color: var(--a9Lightest);}</v>
      </c>
      <c r="J88" s="48" t="str">
        <f t="shared" ref="J88" si="52">_xlfn.CONCAT("    .",B87,B88,"Bg","{","background-color: var(--",B87,B88,");","}")</f>
        <v xml:space="preserve">    .a9LightestBg{background-color: var(--a9Lightest);}</v>
      </c>
    </row>
    <row r="89" spans="2:10" x14ac:dyDescent="0.45">
      <c r="B89" s="27" t="s">
        <v>26</v>
      </c>
      <c r="C89" s="48">
        <f>ROUND(255-((255-C91)*F89),0)</f>
        <v>185</v>
      </c>
      <c r="D89" s="48">
        <f>ROUND(255-((255-D91)*F89),0)</f>
        <v>194</v>
      </c>
      <c r="E89" s="48">
        <f>ROUND(255-((255-E91)*F89),0)</f>
        <v>204</v>
      </c>
      <c r="F89" s="47">
        <v>0.5</v>
      </c>
      <c r="H89" s="48" t="str">
        <f>_xlfn.CONCAT("        --",B87,,B89,": rgba(",C89,", ",D89,", ",E89,", ","1.00",");")</f>
        <v xml:space="preserve">        --a9Lighter: rgba(185, 194, 204, 1.00);</v>
      </c>
      <c r="I89" s="48" t="str">
        <f>_xlfn.CONCAT("    .",B87,B89,"{","color: var(--",B87,B89,");","}")</f>
        <v xml:space="preserve">    .a9Lighter{color: var(--a9Lighter);}</v>
      </c>
      <c r="J89" s="48" t="str">
        <f t="shared" ref="J89" si="53">_xlfn.CONCAT("    .",B87,B89,"Bg","{","background-color: var(--",B87,B89,");","}")</f>
        <v xml:space="preserve">    .a9LighterBg{background-color: var(--a9Lighter);}</v>
      </c>
    </row>
    <row r="90" spans="2:10" x14ac:dyDescent="0.45">
      <c r="B90" s="27" t="s">
        <v>27</v>
      </c>
      <c r="C90" s="48">
        <f>ROUND(255-((255-C91)*F90),0)</f>
        <v>150</v>
      </c>
      <c r="D90" s="48">
        <f>ROUND(255-((255-D91)*F90),0)</f>
        <v>163</v>
      </c>
      <c r="E90" s="48">
        <f>ROUND(255-((255-E91)*F90),0)</f>
        <v>179</v>
      </c>
      <c r="F90" s="47">
        <v>0.75</v>
      </c>
      <c r="H90" s="48" t="str">
        <f>_xlfn.CONCAT("        --",B87,,B90,": rgba(",C90,", ",D90,", ",E90,", ","1.00",");")</f>
        <v xml:space="preserve">        --a9Light: rgba(150, 163, 179, 1.00);</v>
      </c>
      <c r="I90" s="48" t="str">
        <f>_xlfn.CONCAT("    .",B87,B90,"{","color: var(--",B87,B90,");","}")</f>
        <v xml:space="preserve">    .a9Light{color: var(--a9Light);}</v>
      </c>
      <c r="J90" s="48" t="str">
        <f t="shared" ref="J90" si="54">_xlfn.CONCAT("    .",B87,B90,"Bg","{","background-color: var(--",B87,B90,");","}")</f>
        <v xml:space="preserve">    .a9LightBg{background-color: var(--a9Light);}</v>
      </c>
    </row>
    <row r="91" spans="2:10" x14ac:dyDescent="0.45">
      <c r="B91" s="27" t="s">
        <v>28</v>
      </c>
      <c r="C91" s="50">
        <f>VLOOKUP(B87,$B$3:$E$21,2,FALSE)</f>
        <v>115</v>
      </c>
      <c r="D91" s="50">
        <f>VLOOKUP(B87,$B$3:$E$21,3,FALSE)</f>
        <v>132</v>
      </c>
      <c r="E91" s="50">
        <f>VLOOKUP(B87,$B$3:$E$21,4,FALSE)</f>
        <v>153</v>
      </c>
      <c r="F91" s="47">
        <v>0</v>
      </c>
      <c r="H91" s="48" t="str">
        <f>_xlfn.CONCAT("        --",B87,,B91,": rgba(",C91,", ",D91,", ",E91,", ","1.00",");")</f>
        <v xml:space="preserve">        --a9Normal: rgba(115, 132, 153, 1.00);</v>
      </c>
      <c r="I91" s="48" t="str">
        <f>_xlfn.CONCAT("    .",B87,B91,"{","color: var(--",B87,B91,");","}")</f>
        <v xml:space="preserve">    .a9Normal{color: var(--a9Normal);}</v>
      </c>
      <c r="J91" s="48" t="str">
        <f t="shared" ref="J91" si="55">_xlfn.CONCAT("    .",B87,B91,"Bg","{","background-color: var(--",B87,B91,");","}")</f>
        <v xml:space="preserve">    .a9NormalBg{background-color: var(--a9Normal);}</v>
      </c>
    </row>
    <row r="92" spans="2:10" x14ac:dyDescent="0.45">
      <c r="B92" s="27" t="s">
        <v>29</v>
      </c>
      <c r="C92" s="48">
        <f>ROUND(C91*(1+F92),0)</f>
        <v>86</v>
      </c>
      <c r="D92" s="48">
        <f>ROUND(D91*(1+F92),0)</f>
        <v>99</v>
      </c>
      <c r="E92" s="48">
        <f>ROUND(E91*(1+F92),0)</f>
        <v>115</v>
      </c>
      <c r="F92" s="47">
        <v>-0.25</v>
      </c>
      <c r="H92" s="48" t="str">
        <f>_xlfn.CONCAT("        --",B87,,B92,": rgba(",C92,", ",D92,", ",E92,", ","1.00",");")</f>
        <v xml:space="preserve">        --a9Dark: rgba(86, 99, 115, 1.00);</v>
      </c>
      <c r="I92" s="48" t="str">
        <f>_xlfn.CONCAT("    .",B87,B92,"{","color: var(--",B87,B92,");","}")</f>
        <v xml:space="preserve">    .a9Dark{color: var(--a9Dark);}</v>
      </c>
      <c r="J92" s="48" t="str">
        <f t="shared" ref="J92" si="56">_xlfn.CONCAT("    .",B87,B92,"Bg","{","background-color: var(--",B87,B92,");","}")</f>
        <v xml:space="preserve">    .a9DarkBg{background-color: var(--a9Dark);}</v>
      </c>
    </row>
    <row r="93" spans="2:10" x14ac:dyDescent="0.45">
      <c r="B93" s="27" t="s">
        <v>30</v>
      </c>
      <c r="C93" s="48">
        <f>ROUND(C91*(1+F93),0)</f>
        <v>58</v>
      </c>
      <c r="D93" s="48">
        <f>ROUND(D91*(1+F93),0)</f>
        <v>66</v>
      </c>
      <c r="E93" s="48">
        <f>ROUND(E91*(1+F93),0)</f>
        <v>77</v>
      </c>
      <c r="F93" s="47">
        <v>-0.5</v>
      </c>
      <c r="H93" s="48" t="str">
        <f>_xlfn.CONCAT("        --",B87,,B93,": rgba(",C93,", ",D93,", ",E93,", ","1.00",");")</f>
        <v xml:space="preserve">        --a9Darker: rgba(58, 66, 77, 1.00);</v>
      </c>
      <c r="I93" s="48" t="str">
        <f>_xlfn.CONCAT("    .",B87,B93,"{","color: var(--",B87,B93,");","}")</f>
        <v xml:space="preserve">    .a9Darker{color: var(--a9Darker);}</v>
      </c>
      <c r="J93" s="48" t="str">
        <f t="shared" ref="J93" si="57">_xlfn.CONCAT("    .",B87,B93,"Bg","{","background-color: var(--",B87,B93,");","}")</f>
        <v xml:space="preserve">    .a9DarkerBg{background-color: var(--a9Darker);}</v>
      </c>
    </row>
    <row r="94" spans="2:10" x14ac:dyDescent="0.45">
      <c r="B94" s="27" t="s">
        <v>31</v>
      </c>
      <c r="C94" s="48">
        <f>ROUND(C91*(1+F94),0)</f>
        <v>29</v>
      </c>
      <c r="D94" s="48">
        <f>ROUND(D91*(1+F94),0)</f>
        <v>33</v>
      </c>
      <c r="E94" s="48">
        <f>ROUND(E91*(1+F94),0)</f>
        <v>38</v>
      </c>
      <c r="F94" s="47">
        <v>-0.75</v>
      </c>
      <c r="H94" s="48" t="str">
        <f>_xlfn.CONCAT("        --",B87,,B94,": rgba(",C94,", ",D94,", ",E94,", ","1.00",");")</f>
        <v xml:space="preserve">        --a9Darkest: rgba(29, 33, 38, 1.00);</v>
      </c>
      <c r="I94" s="48" t="str">
        <f>_xlfn.CONCAT("    .",B87,B94,"{","color: var(--",B87,B94,");","}")</f>
        <v xml:space="preserve">    .a9Darkest{color: var(--a9Darkest);}</v>
      </c>
      <c r="J94" s="48" t="str">
        <f t="shared" ref="J94" si="58">_xlfn.CONCAT("    .",B87,B94,"Bg","{","background-color: var(--",B87,B94,");","}")</f>
        <v xml:space="preserve">    .a9DarkestBg{background-color: var(--a9Darkest);}</v>
      </c>
    </row>
    <row r="95" spans="2:10" x14ac:dyDescent="0.45">
      <c r="B95" s="46" t="s">
        <v>47</v>
      </c>
      <c r="C95" s="49" t="s">
        <v>33</v>
      </c>
      <c r="D95" s="49" t="s">
        <v>34</v>
      </c>
      <c r="E95" s="49" t="s">
        <v>35</v>
      </c>
      <c r="F95" s="49" t="s">
        <v>36</v>
      </c>
      <c r="H95" s="49"/>
      <c r="I95" s="49"/>
      <c r="J95" s="49"/>
    </row>
    <row r="96" spans="2:10" x14ac:dyDescent="0.45">
      <c r="B96" s="27" t="s">
        <v>25</v>
      </c>
      <c r="C96" s="48">
        <f>ROUND(255-((255-C99)*F96),0)</f>
        <v>248</v>
      </c>
      <c r="D96" s="48">
        <f>ROUND(255-((255-D99)*F96),0)</f>
        <v>205</v>
      </c>
      <c r="E96" s="48">
        <f>ROUND(255-((255-E99)*F96),0)</f>
        <v>221</v>
      </c>
      <c r="F96" s="47">
        <v>0.25</v>
      </c>
      <c r="H96" s="48" t="str">
        <f>_xlfn.CONCAT("        --",B95,,B96,": rgba(",C96,", ",D96,", ",E96,", ","1.00",");")</f>
        <v xml:space="preserve">        --b1Lightest: rgba(248, 205, 221, 1.00);</v>
      </c>
      <c r="I96" s="48" t="str">
        <f>_xlfn.CONCAT("    .",B95,B96,"{","color: var(--",B95,B96,");","}")</f>
        <v xml:space="preserve">    .b1Lightest{color: var(--b1Lightest);}</v>
      </c>
      <c r="J96" s="48" t="str">
        <f t="shared" ref="J96" si="59">_xlfn.CONCAT("    .",B95,B96,"Bg","{","background-color: var(--",B95,B96,");","}")</f>
        <v xml:space="preserve">    .b1LightestBg{background-color: var(--b1Lightest);}</v>
      </c>
    </row>
    <row r="97" spans="2:10" x14ac:dyDescent="0.45">
      <c r="B97" s="27" t="s">
        <v>26</v>
      </c>
      <c r="C97" s="48">
        <f>ROUND(255-((255-C99)*F97),0)</f>
        <v>241</v>
      </c>
      <c r="D97" s="48">
        <f>ROUND(255-((255-D99)*F97),0)</f>
        <v>156</v>
      </c>
      <c r="E97" s="48">
        <f>ROUND(255-((255-E99)*F97),0)</f>
        <v>186</v>
      </c>
      <c r="F97" s="47">
        <v>0.5</v>
      </c>
      <c r="H97" s="48" t="str">
        <f>_xlfn.CONCAT("        --",B95,,B97,": rgba(",C97,", ",D97,", ",E97,", ","1.00",");")</f>
        <v xml:space="preserve">        --b1Lighter: rgba(241, 156, 186, 1.00);</v>
      </c>
      <c r="I97" s="48" t="str">
        <f>_xlfn.CONCAT("    .",B95,B97,"{","color: var(--",B95,B97,");","}")</f>
        <v xml:space="preserve">    .b1Lighter{color: var(--b1Lighter);}</v>
      </c>
      <c r="J97" s="48" t="str">
        <f t="shared" ref="J97" si="60">_xlfn.CONCAT("    .",B95,B97,"Bg","{","background-color: var(--",B95,B97,");","}")</f>
        <v xml:space="preserve">    .b1LighterBg{background-color: var(--b1Lighter);}</v>
      </c>
    </row>
    <row r="98" spans="2:10" x14ac:dyDescent="0.45">
      <c r="B98" s="27" t="s">
        <v>27</v>
      </c>
      <c r="C98" s="48">
        <f>ROUND(255-((255-C99)*F98),0)</f>
        <v>234</v>
      </c>
      <c r="D98" s="48">
        <f>ROUND(255-((255-D99)*F98),0)</f>
        <v>106</v>
      </c>
      <c r="E98" s="48">
        <f>ROUND(255-((255-E99)*F98),0)</f>
        <v>152</v>
      </c>
      <c r="F98" s="47">
        <v>0.75</v>
      </c>
      <c r="H98" s="48" t="str">
        <f>_xlfn.CONCAT("        --",B95,,B98,": rgba(",C98,", ",D98,", ",E98,", ","1.00",");")</f>
        <v xml:space="preserve">        --b1Light: rgba(234, 106, 152, 1.00);</v>
      </c>
      <c r="I98" s="48" t="str">
        <f>_xlfn.CONCAT("    .",B95,B98,"{","color: var(--",B95,B98,");","}")</f>
        <v xml:space="preserve">    .b1Light{color: var(--b1Light);}</v>
      </c>
      <c r="J98" s="48" t="str">
        <f t="shared" ref="J98" si="61">_xlfn.CONCAT("    .",B95,B98,"Bg","{","background-color: var(--",B95,B98,");","}")</f>
        <v xml:space="preserve">    .b1LightBg{background-color: var(--b1Light);}</v>
      </c>
    </row>
    <row r="99" spans="2:10" x14ac:dyDescent="0.45">
      <c r="B99" s="27" t="s">
        <v>28</v>
      </c>
      <c r="C99" s="50">
        <f>VLOOKUP(B95,$B$3:$E$21,2,FALSE)</f>
        <v>227</v>
      </c>
      <c r="D99" s="50">
        <f>VLOOKUP(B95,$B$3:$E$21,3,FALSE)</f>
        <v>56</v>
      </c>
      <c r="E99" s="50">
        <f>VLOOKUP(B95,$B$3:$E$21,4,FALSE)</f>
        <v>117</v>
      </c>
      <c r="F99" s="47">
        <v>0</v>
      </c>
      <c r="H99" s="48" t="str">
        <f>_xlfn.CONCAT("        --",B95,,B99,": rgba(",C99,", ",D99,", ",E99,", ","1.00",");")</f>
        <v xml:space="preserve">        --b1Normal: rgba(227, 56, 117, 1.00);</v>
      </c>
      <c r="I99" s="48" t="str">
        <f>_xlfn.CONCAT("    .",B95,B99,"{","color: var(--",B95,B99,");","}")</f>
        <v xml:space="preserve">    .b1Normal{color: var(--b1Normal);}</v>
      </c>
      <c r="J99" s="48" t="str">
        <f t="shared" ref="J99" si="62">_xlfn.CONCAT("    .",B95,B99,"Bg","{","background-color: var(--",B95,B99,");","}")</f>
        <v xml:space="preserve">    .b1NormalBg{background-color: var(--b1Normal);}</v>
      </c>
    </row>
    <row r="100" spans="2:10" x14ac:dyDescent="0.45">
      <c r="B100" s="27" t="s">
        <v>29</v>
      </c>
      <c r="C100" s="48">
        <f>ROUND(C99*(1+F100),0)</f>
        <v>170</v>
      </c>
      <c r="D100" s="48">
        <f>ROUND(D99*(1+F100),0)</f>
        <v>42</v>
      </c>
      <c r="E100" s="48">
        <f>ROUND(E99*(1+F100),0)</f>
        <v>88</v>
      </c>
      <c r="F100" s="47">
        <v>-0.25</v>
      </c>
      <c r="H100" s="48" t="str">
        <f>_xlfn.CONCAT("        --",B95,,B100,": rgba(",C100,", ",D100,", ",E100,", ","1.00",");")</f>
        <v xml:space="preserve">        --b1Dark: rgba(170, 42, 88, 1.00);</v>
      </c>
      <c r="I100" s="48" t="str">
        <f>_xlfn.CONCAT("    .",B95,B100,"{","color: var(--",B95,B100,");","}")</f>
        <v xml:space="preserve">    .b1Dark{color: var(--b1Dark);}</v>
      </c>
      <c r="J100" s="48" t="str">
        <f t="shared" ref="J100" si="63">_xlfn.CONCAT("    .",B95,B100,"Bg","{","background-color: var(--",B95,B100,");","}")</f>
        <v xml:space="preserve">    .b1DarkBg{background-color: var(--b1Dark);}</v>
      </c>
    </row>
    <row r="101" spans="2:10" x14ac:dyDescent="0.45">
      <c r="B101" s="27" t="s">
        <v>30</v>
      </c>
      <c r="C101" s="48">
        <f>ROUND(C99*(1+F101),0)</f>
        <v>114</v>
      </c>
      <c r="D101" s="48">
        <f>ROUND(D99*(1+F101),0)</f>
        <v>28</v>
      </c>
      <c r="E101" s="48">
        <f>ROUND(E99*(1+F101),0)</f>
        <v>59</v>
      </c>
      <c r="F101" s="47">
        <v>-0.5</v>
      </c>
      <c r="H101" s="48" t="str">
        <f>_xlfn.CONCAT("        --",B95,,B101,": rgba(",C101,", ",D101,", ",E101,", ","1.00",");")</f>
        <v xml:space="preserve">        --b1Darker: rgba(114, 28, 59, 1.00);</v>
      </c>
      <c r="I101" s="48" t="str">
        <f>_xlfn.CONCAT("    .",B95,B101,"{","color: var(--",B95,B101,");","}")</f>
        <v xml:space="preserve">    .b1Darker{color: var(--b1Darker);}</v>
      </c>
      <c r="J101" s="48" t="str">
        <f t="shared" ref="J101" si="64">_xlfn.CONCAT("    .",B95,B101,"Bg","{","background-color: var(--",B95,B101,");","}")</f>
        <v xml:space="preserve">    .b1DarkerBg{background-color: var(--b1Darker);}</v>
      </c>
    </row>
    <row r="102" spans="2:10" x14ac:dyDescent="0.45">
      <c r="B102" s="27" t="s">
        <v>31</v>
      </c>
      <c r="C102" s="48">
        <f>ROUND(C99*(1+F102),0)</f>
        <v>57</v>
      </c>
      <c r="D102" s="48">
        <f>ROUND(D99*(1+F102),0)</f>
        <v>14</v>
      </c>
      <c r="E102" s="48">
        <f>ROUND(E99*(1+F102),0)</f>
        <v>29</v>
      </c>
      <c r="F102" s="47">
        <v>-0.75</v>
      </c>
      <c r="H102" s="48" t="str">
        <f>_xlfn.CONCAT("        --",B95,,B102,": rgba(",C102,", ",D102,", ",E102,", ","1.00",");")</f>
        <v xml:space="preserve">        --b1Darkest: rgba(57, 14, 29, 1.00);</v>
      </c>
      <c r="I102" s="48" t="str">
        <f>_xlfn.CONCAT("    .",B95,B102,"{","color: var(--",B95,B102,");","}")</f>
        <v xml:space="preserve">    .b1Darkest{color: var(--b1Darkest);}</v>
      </c>
      <c r="J102" s="48" t="str">
        <f t="shared" ref="J102" si="65">_xlfn.CONCAT("    .",B95,B102,"Bg","{","background-color: var(--",B95,B102,");","}")</f>
        <v xml:space="preserve">    .b1DarkestBg{background-color: var(--b1Darkest);}</v>
      </c>
    </row>
    <row r="103" spans="2:10" x14ac:dyDescent="0.45">
      <c r="B103" s="46" t="s">
        <v>48</v>
      </c>
      <c r="C103" s="49" t="s">
        <v>33</v>
      </c>
      <c r="D103" s="49" t="s">
        <v>34</v>
      </c>
      <c r="E103" s="49" t="s">
        <v>35</v>
      </c>
      <c r="F103" s="49" t="s">
        <v>36</v>
      </c>
      <c r="H103" s="49"/>
      <c r="I103" s="49"/>
      <c r="J103" s="49"/>
    </row>
    <row r="104" spans="2:10" x14ac:dyDescent="0.45">
      <c r="B104" s="27" t="s">
        <v>25</v>
      </c>
      <c r="C104" s="48">
        <f>ROUND(255-((255-C107)*F104),0)</f>
        <v>265</v>
      </c>
      <c r="D104" s="48">
        <f>ROUND(255-((255-D107)*F104),0)</f>
        <v>213</v>
      </c>
      <c r="E104" s="48">
        <f>ROUND(255-((255-E107)*F104),0)</f>
        <v>196</v>
      </c>
      <c r="F104" s="47">
        <v>0.25</v>
      </c>
      <c r="H104" s="48" t="str">
        <f>_xlfn.CONCAT("        --",B103,,B104,": rgba(",C104,", ",D104,", ",E104,", ","1.00",");")</f>
        <v xml:space="preserve">        --b2Lightest: rgba(265, 213, 196, 1.00);</v>
      </c>
      <c r="I104" s="48" t="str">
        <f>_xlfn.CONCAT("    .",B103,B104,"{","color: var(--",B103,B104,");","}")</f>
        <v xml:space="preserve">    .b2Lightest{color: var(--b2Lightest);}</v>
      </c>
      <c r="J104" s="48" t="str">
        <f t="shared" ref="J104" si="66">_xlfn.CONCAT("    .",B103,B104,"Bg","{","background-color: var(--",B103,B104,");","}")</f>
        <v xml:space="preserve">    .b2LightestBg{background-color: var(--b2Lightest);}</v>
      </c>
    </row>
    <row r="105" spans="2:10" x14ac:dyDescent="0.45">
      <c r="B105" s="27" t="s">
        <v>26</v>
      </c>
      <c r="C105" s="48">
        <f>ROUND(255-((255-C107)*F105),0)</f>
        <v>275</v>
      </c>
      <c r="D105" s="48">
        <f>ROUND(255-((255-D107)*F105),0)</f>
        <v>171</v>
      </c>
      <c r="E105" s="48">
        <f>ROUND(255-((255-E107)*F105),0)</f>
        <v>137</v>
      </c>
      <c r="F105" s="47">
        <v>0.5</v>
      </c>
      <c r="H105" s="48" t="str">
        <f>_xlfn.CONCAT("        --",B103,,B105,": rgba(",C105,", ",D105,", ",E105,", ","1.00",");")</f>
        <v xml:space="preserve">        --b2Lighter: rgba(275, 171, 137, 1.00);</v>
      </c>
      <c r="I105" s="48" t="str">
        <f>_xlfn.CONCAT("    .",B103,B105,"{","color: var(--",B103,B105,");","}")</f>
        <v xml:space="preserve">    .b2Lighter{color: var(--b2Lighter);}</v>
      </c>
      <c r="J105" s="48" t="str">
        <f t="shared" ref="J105" si="67">_xlfn.CONCAT("    .",B103,B105,"Bg","{","background-color: var(--",B103,B105,");","}")</f>
        <v xml:space="preserve">    .b2LighterBg{background-color: var(--b2Lighter);}</v>
      </c>
    </row>
    <row r="106" spans="2:10" x14ac:dyDescent="0.45">
      <c r="B106" s="27" t="s">
        <v>27</v>
      </c>
      <c r="C106" s="48">
        <f>ROUND(255-((255-C107)*F106),0)</f>
        <v>284</v>
      </c>
      <c r="D106" s="48">
        <f>ROUND(255-((255-D107)*F106),0)</f>
        <v>129</v>
      </c>
      <c r="E106" s="48">
        <f>ROUND(255-((255-E107)*F106),0)</f>
        <v>78</v>
      </c>
      <c r="F106" s="47">
        <v>0.75</v>
      </c>
      <c r="H106" s="48" t="str">
        <f>_xlfn.CONCAT("        --",B103,,B106,": rgba(",C106,", ",D106,", ",E106,", ","1.00",");")</f>
        <v xml:space="preserve">        --b2Light: rgba(284, 129, 78, 1.00);</v>
      </c>
      <c r="I106" s="48" t="str">
        <f>_xlfn.CONCAT("    .",B103,B106,"{","color: var(--",B103,B106,");","}")</f>
        <v xml:space="preserve">    .b2Light{color: var(--b2Light);}</v>
      </c>
      <c r="J106" s="48" t="str">
        <f t="shared" ref="J106" si="68">_xlfn.CONCAT("    .",B103,B106,"Bg","{","background-color: var(--",B103,B106,");","}")</f>
        <v xml:space="preserve">    .b2LightBg{background-color: var(--b2Light);}</v>
      </c>
    </row>
    <row r="107" spans="2:10" x14ac:dyDescent="0.45">
      <c r="B107" s="27" t="s">
        <v>28</v>
      </c>
      <c r="C107" s="50">
        <f>VLOOKUP(B103,$B$3:$E$21,2,FALSE)</f>
        <v>294</v>
      </c>
      <c r="D107" s="50">
        <f>VLOOKUP(B103,$B$3:$E$21,3,FALSE)</f>
        <v>87</v>
      </c>
      <c r="E107" s="50">
        <f>VLOOKUP(B103,$B$3:$E$21,4,FALSE)</f>
        <v>19</v>
      </c>
      <c r="F107" s="47">
        <v>0</v>
      </c>
      <c r="H107" s="48" t="str">
        <f>_xlfn.CONCAT("        --",B103,,B107,": rgba(",C107,", ",D107,", ",E107,", ","1.00",");")</f>
        <v xml:space="preserve">        --b2Normal: rgba(294, 87, 19, 1.00);</v>
      </c>
      <c r="I107" s="48" t="str">
        <f>_xlfn.CONCAT("    .",B103,B107,"{","color: var(--",B103,B107,");","}")</f>
        <v xml:space="preserve">    .b2Normal{color: var(--b2Normal);}</v>
      </c>
      <c r="J107" s="48" t="str">
        <f t="shared" ref="J107" si="69">_xlfn.CONCAT("    .",B103,B107,"Bg","{","background-color: var(--",B103,B107,");","}")</f>
        <v xml:space="preserve">    .b2NormalBg{background-color: var(--b2Normal);}</v>
      </c>
    </row>
    <row r="108" spans="2:10" x14ac:dyDescent="0.45">
      <c r="B108" s="27" t="s">
        <v>29</v>
      </c>
      <c r="C108" s="48">
        <f>ROUND(C107*(1+F108),0)</f>
        <v>221</v>
      </c>
      <c r="D108" s="48">
        <f>ROUND(D107*(1+F108),0)</f>
        <v>65</v>
      </c>
      <c r="E108" s="48">
        <f>ROUND(E107*(1+F108),0)</f>
        <v>14</v>
      </c>
      <c r="F108" s="47">
        <v>-0.25</v>
      </c>
      <c r="H108" s="48" t="str">
        <f>_xlfn.CONCAT("        --",B103,,B108,": rgba(",C108,", ",D108,", ",E108,", ","1.00",");")</f>
        <v xml:space="preserve">        --b2Dark: rgba(221, 65, 14, 1.00);</v>
      </c>
      <c r="I108" s="48" t="str">
        <f>_xlfn.CONCAT("    .",B103,B108,"{","color: var(--",B103,B108,");","}")</f>
        <v xml:space="preserve">    .b2Dark{color: var(--b2Dark);}</v>
      </c>
      <c r="J108" s="48" t="str">
        <f t="shared" ref="J108" si="70">_xlfn.CONCAT("    .",B103,B108,"Bg","{","background-color: var(--",B103,B108,");","}")</f>
        <v xml:space="preserve">    .b2DarkBg{background-color: var(--b2Dark);}</v>
      </c>
    </row>
    <row r="109" spans="2:10" x14ac:dyDescent="0.45">
      <c r="B109" s="27" t="s">
        <v>30</v>
      </c>
      <c r="C109" s="48">
        <f>ROUND(C107*(1+F109),0)</f>
        <v>147</v>
      </c>
      <c r="D109" s="48">
        <f>ROUND(D107*(1+F109),0)</f>
        <v>44</v>
      </c>
      <c r="E109" s="48">
        <f>ROUND(E107*(1+F109),0)</f>
        <v>10</v>
      </c>
      <c r="F109" s="47">
        <v>-0.5</v>
      </c>
      <c r="H109" s="48" t="str">
        <f>_xlfn.CONCAT("        --",B103,,B109,": rgba(",C109,", ",D109,", ",E109,", ","1.00",");")</f>
        <v xml:space="preserve">        --b2Darker: rgba(147, 44, 10, 1.00);</v>
      </c>
      <c r="I109" s="48" t="str">
        <f>_xlfn.CONCAT("    .",B103,B109,"{","color: var(--",B103,B109,");","}")</f>
        <v xml:space="preserve">    .b2Darker{color: var(--b2Darker);}</v>
      </c>
      <c r="J109" s="48" t="str">
        <f t="shared" ref="J109" si="71">_xlfn.CONCAT("    .",B103,B109,"Bg","{","background-color: var(--",B103,B109,");","}")</f>
        <v xml:space="preserve">    .b2DarkerBg{background-color: var(--b2Darker);}</v>
      </c>
    </row>
    <row r="110" spans="2:10" x14ac:dyDescent="0.45">
      <c r="B110" s="27" t="s">
        <v>31</v>
      </c>
      <c r="C110" s="48">
        <f>ROUND(C107*(1+F110),0)</f>
        <v>74</v>
      </c>
      <c r="D110" s="48">
        <f>ROUND(D107*(1+F110),0)</f>
        <v>22</v>
      </c>
      <c r="E110" s="48">
        <f>ROUND(E107*(1+F110),0)</f>
        <v>5</v>
      </c>
      <c r="F110" s="47">
        <v>-0.75</v>
      </c>
      <c r="H110" s="48" t="str">
        <f>_xlfn.CONCAT("        --",B103,,B110,": rgba(",C110,", ",D110,", ",E110,", ","1.00",");")</f>
        <v xml:space="preserve">        --b2Darkest: rgba(74, 22, 5, 1.00);</v>
      </c>
      <c r="I110" s="48" t="str">
        <f>_xlfn.CONCAT("    .",B103,B110,"{","color: var(--",B103,B110,");","}")</f>
        <v xml:space="preserve">    .b2Darkest{color: var(--b2Darkest);}</v>
      </c>
      <c r="J110" s="48" t="str">
        <f t="shared" ref="J110" si="72">_xlfn.CONCAT("    .",B103,B110,"Bg","{","background-color: var(--",B103,B110,");","}")</f>
        <v xml:space="preserve">    .b2DarkestBg{background-color: var(--b2Darkest);}</v>
      </c>
    </row>
    <row r="111" spans="2:10" x14ac:dyDescent="0.45">
      <c r="B111" s="46" t="s">
        <v>49</v>
      </c>
      <c r="C111" s="49" t="s">
        <v>33</v>
      </c>
      <c r="D111" s="49" t="s">
        <v>34</v>
      </c>
      <c r="E111" s="49" t="s">
        <v>35</v>
      </c>
      <c r="F111" s="49" t="s">
        <v>36</v>
      </c>
      <c r="H111" s="49"/>
      <c r="I111" s="49"/>
      <c r="J111" s="49"/>
    </row>
    <row r="112" spans="2:10" x14ac:dyDescent="0.45">
      <c r="B112" s="27" t="s">
        <v>25</v>
      </c>
      <c r="C112" s="48">
        <f>ROUND(255-((255-C115)*F112),0)</f>
        <v>242</v>
      </c>
      <c r="D112" s="48">
        <f>ROUND(255-((255-D115)*F112),0)</f>
        <v>236</v>
      </c>
      <c r="E112" s="48">
        <f>ROUND(255-((255-E115)*F112),0)</f>
        <v>196</v>
      </c>
      <c r="F112" s="47">
        <v>0.25</v>
      </c>
      <c r="H112" s="48" t="str">
        <f>_xlfn.CONCAT("        --",B111,,B112,": rgba(",C112,", ",D112,", ",E112,", ","1.00",");")</f>
        <v xml:space="preserve">        --b3Lightest: rgba(242, 236, 196, 1.00);</v>
      </c>
      <c r="I112" s="48" t="str">
        <f>_xlfn.CONCAT("    .",B111,B112,"{","color: var(--",B111,B112,");","}")</f>
        <v xml:space="preserve">    .b3Lightest{color: var(--b3Lightest);}</v>
      </c>
      <c r="J112" s="48" t="str">
        <f t="shared" ref="J112" si="73">_xlfn.CONCAT("    .",B111,B112,"Bg","{","background-color: var(--",B111,B112,");","}")</f>
        <v xml:space="preserve">    .b3LightestBg{background-color: var(--b3Lightest);}</v>
      </c>
    </row>
    <row r="113" spans="2:10" x14ac:dyDescent="0.45">
      <c r="B113" s="27" t="s">
        <v>26</v>
      </c>
      <c r="C113" s="48">
        <f>ROUND(255-((255-C115)*F113),0)</f>
        <v>229</v>
      </c>
      <c r="D113" s="48">
        <f>ROUND(255-((255-D115)*F113),0)</f>
        <v>218</v>
      </c>
      <c r="E113" s="48">
        <f>ROUND(255-((255-E115)*F113),0)</f>
        <v>137</v>
      </c>
      <c r="F113" s="47">
        <v>0.5</v>
      </c>
      <c r="H113" s="48" t="str">
        <f>_xlfn.CONCAT("        --",B111,,B113,": rgba(",C113,", ",D113,", ",E113,", ","1.00",");")</f>
        <v xml:space="preserve">        --b3Lighter: rgba(229, 218, 137, 1.00);</v>
      </c>
      <c r="I113" s="48" t="str">
        <f>_xlfn.CONCAT("    .",B111,B113,"{","color: var(--",B111,B113,");","}")</f>
        <v xml:space="preserve">    .b3Lighter{color: var(--b3Lighter);}</v>
      </c>
      <c r="J113" s="48" t="str">
        <f t="shared" ref="J113" si="74">_xlfn.CONCAT("    .",B111,B113,"Bg","{","background-color: var(--",B111,B113,");","}")</f>
        <v xml:space="preserve">    .b3LighterBg{background-color: var(--b3Lighter);}</v>
      </c>
    </row>
    <row r="114" spans="2:10" x14ac:dyDescent="0.45">
      <c r="B114" s="27" t="s">
        <v>27</v>
      </c>
      <c r="C114" s="48">
        <f>ROUND(255-((255-C115)*F114),0)</f>
        <v>215</v>
      </c>
      <c r="D114" s="48">
        <f>ROUND(255-((255-D115)*F114),0)</f>
        <v>199</v>
      </c>
      <c r="E114" s="48">
        <f>ROUND(255-((255-E115)*F114),0)</f>
        <v>78</v>
      </c>
      <c r="F114" s="47">
        <v>0.75</v>
      </c>
      <c r="H114" s="48" t="str">
        <f>_xlfn.CONCAT("        --",B111,,B114,": rgba(",C114,", ",D114,", ",E114,", ","1.00",");")</f>
        <v xml:space="preserve">        --b3Light: rgba(215, 199, 78, 1.00);</v>
      </c>
      <c r="I114" s="48" t="str">
        <f>_xlfn.CONCAT("    .",B111,B114,"{","color: var(--",B111,B114,");","}")</f>
        <v xml:space="preserve">    .b3Light{color: var(--b3Light);}</v>
      </c>
      <c r="J114" s="48" t="str">
        <f t="shared" ref="J114" si="75">_xlfn.CONCAT("    .",B111,B114,"Bg","{","background-color: var(--",B111,B114,");","}")</f>
        <v xml:space="preserve">    .b3LightBg{background-color: var(--b3Light);}</v>
      </c>
    </row>
    <row r="115" spans="2:10" x14ac:dyDescent="0.45">
      <c r="B115" s="27" t="s">
        <v>28</v>
      </c>
      <c r="C115" s="50">
        <f>VLOOKUP(B111,$B$3:$E$21,2,FALSE)</f>
        <v>202</v>
      </c>
      <c r="D115" s="50">
        <f>VLOOKUP(B111,$B$3:$E$21,3,FALSE)</f>
        <v>180</v>
      </c>
      <c r="E115" s="50">
        <f>VLOOKUP(B111,$B$3:$E$21,4,FALSE)</f>
        <v>19</v>
      </c>
      <c r="F115" s="47">
        <v>0</v>
      </c>
      <c r="H115" s="48" t="str">
        <f>_xlfn.CONCAT("        --",B111,,B115,": rgba(",C115,", ",D115,", ",E115,", ","1.00",");")</f>
        <v xml:space="preserve">        --b3Normal: rgba(202, 180, 19, 1.00);</v>
      </c>
      <c r="I115" s="48" t="str">
        <f>_xlfn.CONCAT("    .",B111,B115,"{","color: var(--",B111,B115,");","}")</f>
        <v xml:space="preserve">    .b3Normal{color: var(--b3Normal);}</v>
      </c>
      <c r="J115" s="48" t="str">
        <f t="shared" ref="J115" si="76">_xlfn.CONCAT("    .",B111,B115,"Bg","{","background-color: var(--",B111,B115,");","}")</f>
        <v xml:space="preserve">    .b3NormalBg{background-color: var(--b3Normal);}</v>
      </c>
    </row>
    <row r="116" spans="2:10" x14ac:dyDescent="0.45">
      <c r="B116" s="27" t="s">
        <v>29</v>
      </c>
      <c r="C116" s="48">
        <f>ROUND(C115*(1+F116),0)</f>
        <v>152</v>
      </c>
      <c r="D116" s="48">
        <f>ROUND(D115*(1+F116),0)</f>
        <v>135</v>
      </c>
      <c r="E116" s="48">
        <f>ROUND(E115*(1+F116),0)</f>
        <v>14</v>
      </c>
      <c r="F116" s="47">
        <v>-0.25</v>
      </c>
      <c r="H116" s="48" t="str">
        <f>_xlfn.CONCAT("        --",B111,,B116,": rgba(",C116,", ",D116,", ",E116,", ","1.00",");")</f>
        <v xml:space="preserve">        --b3Dark: rgba(152, 135, 14, 1.00);</v>
      </c>
      <c r="I116" s="48" t="str">
        <f>_xlfn.CONCAT("    .",B111,B116,"{","color: var(--",B111,B116,");","}")</f>
        <v xml:space="preserve">    .b3Dark{color: var(--b3Dark);}</v>
      </c>
      <c r="J116" s="48" t="str">
        <f t="shared" ref="J116" si="77">_xlfn.CONCAT("    .",B111,B116,"Bg","{","background-color: var(--",B111,B116,");","}")</f>
        <v xml:space="preserve">    .b3DarkBg{background-color: var(--b3Dark);}</v>
      </c>
    </row>
    <row r="117" spans="2:10" x14ac:dyDescent="0.45">
      <c r="B117" s="27" t="s">
        <v>30</v>
      </c>
      <c r="C117" s="48">
        <f>ROUND(C115*(1+F117),0)</f>
        <v>101</v>
      </c>
      <c r="D117" s="48">
        <f>ROUND(D115*(1+F117),0)</f>
        <v>90</v>
      </c>
      <c r="E117" s="48">
        <f>ROUND(E115*(1+F117),0)</f>
        <v>10</v>
      </c>
      <c r="F117" s="47">
        <v>-0.5</v>
      </c>
      <c r="H117" s="48" t="str">
        <f>_xlfn.CONCAT("        --",B111,,B117,": rgba(",C117,", ",D117,", ",E117,", ","1.00",");")</f>
        <v xml:space="preserve">        --b3Darker: rgba(101, 90, 10, 1.00);</v>
      </c>
      <c r="I117" s="48" t="str">
        <f>_xlfn.CONCAT("    .",B111,B117,"{","color: var(--",B111,B117,");","}")</f>
        <v xml:space="preserve">    .b3Darker{color: var(--b3Darker);}</v>
      </c>
      <c r="J117" s="48" t="str">
        <f t="shared" ref="J117" si="78">_xlfn.CONCAT("    .",B111,B117,"Bg","{","background-color: var(--",B111,B117,");","}")</f>
        <v xml:space="preserve">    .b3DarkerBg{background-color: var(--b3Darker);}</v>
      </c>
    </row>
    <row r="118" spans="2:10" x14ac:dyDescent="0.45">
      <c r="B118" s="27" t="s">
        <v>31</v>
      </c>
      <c r="C118" s="48">
        <f>ROUND(C115*(1+F118),0)</f>
        <v>51</v>
      </c>
      <c r="D118" s="48">
        <f>ROUND(D115*(1+F118),0)</f>
        <v>45</v>
      </c>
      <c r="E118" s="48">
        <f>ROUND(E115*(1+F118),0)</f>
        <v>5</v>
      </c>
      <c r="F118" s="47">
        <v>-0.75</v>
      </c>
      <c r="H118" s="48" t="str">
        <f>_xlfn.CONCAT("        --",B111,,B118,": rgba(",C118,", ",D118,", ",E118,", ","1.00",");")</f>
        <v xml:space="preserve">        --b3Darkest: rgba(51, 45, 5, 1.00);</v>
      </c>
      <c r="I118" s="48" t="str">
        <f>_xlfn.CONCAT("    .",B111,B118,"{","color: var(--",B111,B118,");","}")</f>
        <v xml:space="preserve">    .b3Darkest{color: var(--b3Darkest);}</v>
      </c>
      <c r="J118" s="48" t="str">
        <f t="shared" ref="J118" si="79">_xlfn.CONCAT("    .",B111,B118,"Bg","{","background-color: var(--",B111,B118,");","}")</f>
        <v xml:space="preserve">    .b3DarkestBg{background-color: var(--b3Darkest);}</v>
      </c>
    </row>
    <row r="119" spans="2:10" x14ac:dyDescent="0.45">
      <c r="B119" s="46" t="s">
        <v>50</v>
      </c>
      <c r="C119" s="49" t="s">
        <v>33</v>
      </c>
      <c r="D119" s="49" t="s">
        <v>34</v>
      </c>
      <c r="E119" s="49" t="s">
        <v>35</v>
      </c>
      <c r="F119" s="49" t="s">
        <v>36</v>
      </c>
      <c r="H119" s="49"/>
      <c r="I119" s="49"/>
      <c r="J119" s="49"/>
    </row>
    <row r="120" spans="2:10" x14ac:dyDescent="0.45">
      <c r="B120" s="27" t="s">
        <v>25</v>
      </c>
      <c r="C120" s="48">
        <f>ROUND(255-((255-C123)*F120),0)</f>
        <v>224</v>
      </c>
      <c r="D120" s="48">
        <f>ROUND(255-((255-D123)*F120),0)</f>
        <v>238</v>
      </c>
      <c r="E120" s="48">
        <f>ROUND(255-((255-E123)*F120),0)</f>
        <v>212</v>
      </c>
      <c r="F120" s="47">
        <v>0.25</v>
      </c>
      <c r="H120" s="48" t="str">
        <f>_xlfn.CONCAT("        --",B119,,B120,": rgba(",C120,", ",D120,", ",E120,", ","1.00",");")</f>
        <v xml:space="preserve">        --b4Lightest: rgba(224, 238, 212, 1.00);</v>
      </c>
      <c r="I120" s="48" t="str">
        <f>_xlfn.CONCAT("    .",B119,B120,"{","color: var(--",B119,B120,");","}")</f>
        <v xml:space="preserve">    .b4Lightest{color: var(--b4Lightest);}</v>
      </c>
      <c r="J120" s="48" t="str">
        <f t="shared" ref="J120" si="80">_xlfn.CONCAT("    .",B119,B120,"Bg","{","background-color: var(--",B119,B120,");","}")</f>
        <v xml:space="preserve">    .b4LightestBg{background-color: var(--b4Lightest);}</v>
      </c>
    </row>
    <row r="121" spans="2:10" x14ac:dyDescent="0.45">
      <c r="B121" s="27" t="s">
        <v>26</v>
      </c>
      <c r="C121" s="48">
        <f>ROUND(255-((255-C123)*F121),0)</f>
        <v>194</v>
      </c>
      <c r="D121" s="48">
        <f>ROUND(255-((255-D123)*F121),0)</f>
        <v>220</v>
      </c>
      <c r="E121" s="48">
        <f>ROUND(255-((255-E123)*F121),0)</f>
        <v>169</v>
      </c>
      <c r="F121" s="47">
        <v>0.5</v>
      </c>
      <c r="H121" s="48" t="str">
        <f>_xlfn.CONCAT("        --",B119,,B121,": rgba(",C121,", ",D121,", ",E121,", ","1.00",");")</f>
        <v xml:space="preserve">        --b4Lighter: rgba(194, 220, 169, 1.00);</v>
      </c>
      <c r="I121" s="48" t="str">
        <f>_xlfn.CONCAT("    .",B119,B121,"{","color: var(--",B119,B121,");","}")</f>
        <v xml:space="preserve">    .b4Lighter{color: var(--b4Lighter);}</v>
      </c>
      <c r="J121" s="48" t="str">
        <f t="shared" ref="J121" si="81">_xlfn.CONCAT("    .",B119,B121,"Bg","{","background-color: var(--",B119,B121,");","}")</f>
        <v xml:space="preserve">    .b4LighterBg{background-color: var(--b4Lighter);}</v>
      </c>
    </row>
    <row r="122" spans="2:10" x14ac:dyDescent="0.45">
      <c r="B122" s="27" t="s">
        <v>27</v>
      </c>
      <c r="C122" s="48">
        <f>ROUND(255-((255-C123)*F122),0)</f>
        <v>163</v>
      </c>
      <c r="D122" s="48">
        <f>ROUND(255-((255-D123)*F122),0)</f>
        <v>203</v>
      </c>
      <c r="E122" s="48">
        <f>ROUND(255-((255-E123)*F122),0)</f>
        <v>126</v>
      </c>
      <c r="F122" s="47">
        <v>0.75</v>
      </c>
      <c r="H122" s="48" t="str">
        <f>_xlfn.CONCAT("        --",B119,,B122,": rgba(",C122,", ",D122,", ",E122,", ","1.00",");")</f>
        <v xml:space="preserve">        --b4Light: rgba(163, 203, 126, 1.00);</v>
      </c>
      <c r="I122" s="48" t="str">
        <f>_xlfn.CONCAT("    .",B119,B122,"{","color: var(--",B119,B122,");","}")</f>
        <v xml:space="preserve">    .b4Light{color: var(--b4Light);}</v>
      </c>
      <c r="J122" s="48" t="str">
        <f t="shared" ref="J122" si="82">_xlfn.CONCAT("    .",B119,B122,"Bg","{","background-color: var(--",B119,B122,");","}")</f>
        <v xml:space="preserve">    .b4LightBg{background-color: var(--b4Light);}</v>
      </c>
    </row>
    <row r="123" spans="2:10" x14ac:dyDescent="0.45">
      <c r="B123" s="27" t="s">
        <v>28</v>
      </c>
      <c r="C123" s="50">
        <f>VLOOKUP(B119,$B$3:$E$21,2,FALSE)</f>
        <v>132</v>
      </c>
      <c r="D123" s="50">
        <f>VLOOKUP(B119,$B$3:$E$21,3,FALSE)</f>
        <v>185</v>
      </c>
      <c r="E123" s="50">
        <f>VLOOKUP(B119,$B$3:$E$21,4,FALSE)</f>
        <v>83</v>
      </c>
      <c r="F123" s="47">
        <v>0</v>
      </c>
      <c r="H123" s="48" t="str">
        <f>_xlfn.CONCAT("        --",B119,,B123,": rgba(",C123,", ",D123,", ",E123,", ","1.00",");")</f>
        <v xml:space="preserve">        --b4Normal: rgba(132, 185, 83, 1.00);</v>
      </c>
      <c r="I123" s="48" t="str">
        <f>_xlfn.CONCAT("    .",B119,B123,"{","color: var(--",B119,B123,");","}")</f>
        <v xml:space="preserve">    .b4Normal{color: var(--b4Normal);}</v>
      </c>
      <c r="J123" s="48" t="str">
        <f t="shared" ref="J123" si="83">_xlfn.CONCAT("    .",B119,B123,"Bg","{","background-color: var(--",B119,B123,");","}")</f>
        <v xml:space="preserve">    .b4NormalBg{background-color: var(--b4Normal);}</v>
      </c>
    </row>
    <row r="124" spans="2:10" x14ac:dyDescent="0.45">
      <c r="B124" s="27" t="s">
        <v>29</v>
      </c>
      <c r="C124" s="48">
        <f>ROUND(C123*(1+F124),0)</f>
        <v>99</v>
      </c>
      <c r="D124" s="48">
        <f>ROUND(D123*(1+F124),0)</f>
        <v>139</v>
      </c>
      <c r="E124" s="48">
        <f>ROUND(E123*(1+F124),0)</f>
        <v>62</v>
      </c>
      <c r="F124" s="47">
        <v>-0.25</v>
      </c>
      <c r="H124" s="48" t="str">
        <f>_xlfn.CONCAT("        --",B119,,B124,": rgba(",C124,", ",D124,", ",E124,", ","1.00",");")</f>
        <v xml:space="preserve">        --b4Dark: rgba(99, 139, 62, 1.00);</v>
      </c>
      <c r="I124" s="48" t="str">
        <f>_xlfn.CONCAT("    .",B119,B124,"{","color: var(--",B119,B124,");","}")</f>
        <v xml:space="preserve">    .b4Dark{color: var(--b4Dark);}</v>
      </c>
      <c r="J124" s="48" t="str">
        <f t="shared" ref="J124" si="84">_xlfn.CONCAT("    .",B119,B124,"Bg","{","background-color: var(--",B119,B124,");","}")</f>
        <v xml:space="preserve">    .b4DarkBg{background-color: var(--b4Dark);}</v>
      </c>
    </row>
    <row r="125" spans="2:10" x14ac:dyDescent="0.45">
      <c r="B125" s="27" t="s">
        <v>30</v>
      </c>
      <c r="C125" s="48">
        <f>ROUND(C123*(1+F125),0)</f>
        <v>66</v>
      </c>
      <c r="D125" s="48">
        <f>ROUND(D123*(1+F125),0)</f>
        <v>93</v>
      </c>
      <c r="E125" s="48">
        <f>ROUND(E123*(1+F125),0)</f>
        <v>42</v>
      </c>
      <c r="F125" s="47">
        <v>-0.5</v>
      </c>
      <c r="H125" s="48" t="str">
        <f>_xlfn.CONCAT("        --",B119,,B125,": rgba(",C125,", ",D125,", ",E125,", ","1.00",");")</f>
        <v xml:space="preserve">        --b4Darker: rgba(66, 93, 42, 1.00);</v>
      </c>
      <c r="I125" s="48" t="str">
        <f>_xlfn.CONCAT("    .",B119,B125,"{","color: var(--",B119,B125,");","}")</f>
        <v xml:space="preserve">    .b4Darker{color: var(--b4Darker);}</v>
      </c>
      <c r="J125" s="48" t="str">
        <f t="shared" ref="J125" si="85">_xlfn.CONCAT("    .",B119,B125,"Bg","{","background-color: var(--",B119,B125,");","}")</f>
        <v xml:space="preserve">    .b4DarkerBg{background-color: var(--b4Darker);}</v>
      </c>
    </row>
    <row r="126" spans="2:10" x14ac:dyDescent="0.45">
      <c r="B126" s="27" t="s">
        <v>31</v>
      </c>
      <c r="C126" s="48">
        <f>ROUND(C123*(1+F126),0)</f>
        <v>33</v>
      </c>
      <c r="D126" s="48">
        <f>ROUND(D123*(1+F126),0)</f>
        <v>46</v>
      </c>
      <c r="E126" s="48">
        <f>ROUND(E123*(1+F126),0)</f>
        <v>21</v>
      </c>
      <c r="F126" s="47">
        <v>-0.75</v>
      </c>
      <c r="H126" s="48" t="str">
        <f>_xlfn.CONCAT("        --",B119,,B126,": rgba(",C126,", ",D126,", ",E126,", ","1.00",");")</f>
        <v xml:space="preserve">        --b4Darkest: rgba(33, 46, 21, 1.00);</v>
      </c>
      <c r="I126" s="48" t="str">
        <f>_xlfn.CONCAT("    .",B119,B126,"{","color: var(--",B119,B126,");","}")</f>
        <v xml:space="preserve">    .b4Darkest{color: var(--b4Darkest);}</v>
      </c>
      <c r="J126" s="48" t="str">
        <f t="shared" ref="J126" si="86">_xlfn.CONCAT("    .",B119,B126,"Bg","{","background-color: var(--",B119,B126,");","}")</f>
        <v xml:space="preserve">    .b4DarkestBg{background-color: var(--b4Darkest);}</v>
      </c>
    </row>
    <row r="127" spans="2:10" x14ac:dyDescent="0.45">
      <c r="B127" s="46" t="s">
        <v>51</v>
      </c>
      <c r="C127" s="49" t="s">
        <v>33</v>
      </c>
      <c r="D127" s="49" t="s">
        <v>34</v>
      </c>
      <c r="E127" s="49" t="s">
        <v>35</v>
      </c>
      <c r="F127" s="49" t="s">
        <v>36</v>
      </c>
      <c r="H127" s="49"/>
      <c r="I127" s="49"/>
      <c r="J127" s="49"/>
    </row>
    <row r="128" spans="2:10" x14ac:dyDescent="0.45">
      <c r="B128" s="27" t="s">
        <v>25</v>
      </c>
      <c r="C128" s="48">
        <f>ROUND(255-((255-C131)*F128),0)</f>
        <v>209</v>
      </c>
      <c r="D128" s="48">
        <f>ROUND(255-((255-D131)*F128),0)</f>
        <v>240</v>
      </c>
      <c r="E128" s="48">
        <f>ROUND(255-((255-E131)*F128),0)</f>
        <v>225</v>
      </c>
      <c r="F128" s="47">
        <v>0.25</v>
      </c>
      <c r="H128" s="48" t="str">
        <f>_xlfn.CONCAT("        --",B127,,B128,": rgba(",C128,", ",D128,", ",E128,", ","1.00",");")</f>
        <v xml:space="preserve">        --b5Lightest: rgba(209, 240, 225, 1.00);</v>
      </c>
      <c r="I128" s="48" t="str">
        <f>_xlfn.CONCAT("    .",B127,B128,"{","color: var(--",B127,B128,");","}")</f>
        <v xml:space="preserve">    .b5Lightest{color: var(--b5Lightest);}</v>
      </c>
      <c r="J128" s="48" t="str">
        <f t="shared" ref="J128" si="87">_xlfn.CONCAT("    .",B127,B128,"Bg","{","background-color: var(--",B127,B128,");","}")</f>
        <v xml:space="preserve">    .b5LightestBg{background-color: var(--b5Lightest);}</v>
      </c>
    </row>
    <row r="129" spans="2:10" x14ac:dyDescent="0.45">
      <c r="B129" s="27" t="s">
        <v>26</v>
      </c>
      <c r="C129" s="48">
        <f>ROUND(255-((255-C131)*F129),0)</f>
        <v>164</v>
      </c>
      <c r="D129" s="48">
        <f>ROUND(255-((255-D131)*F129),0)</f>
        <v>224</v>
      </c>
      <c r="E129" s="48">
        <f>ROUND(255-((255-E131)*F129),0)</f>
        <v>196</v>
      </c>
      <c r="F129" s="47">
        <v>0.5</v>
      </c>
      <c r="H129" s="48" t="str">
        <f>_xlfn.CONCAT("        --",B127,,B129,": rgba(",C129,", ",D129,", ",E129,", ","1.00",");")</f>
        <v xml:space="preserve">        --b5Lighter: rgba(164, 224, 196, 1.00);</v>
      </c>
      <c r="I129" s="48" t="str">
        <f>_xlfn.CONCAT("    .",B127,B129,"{","color: var(--",B127,B129,");","}")</f>
        <v xml:space="preserve">    .b5Lighter{color: var(--b5Lighter);}</v>
      </c>
      <c r="J129" s="48" t="str">
        <f t="shared" ref="J129" si="88">_xlfn.CONCAT("    .",B127,B129,"Bg","{","background-color: var(--",B127,B129,");","}")</f>
        <v xml:space="preserve">    .b5LighterBg{background-color: var(--b5Lighter);}</v>
      </c>
    </row>
    <row r="130" spans="2:10" x14ac:dyDescent="0.45">
      <c r="B130" s="27" t="s">
        <v>27</v>
      </c>
      <c r="C130" s="48">
        <f>ROUND(255-((255-C131)*F130),0)</f>
        <v>118</v>
      </c>
      <c r="D130" s="48">
        <f>ROUND(255-((255-D131)*F130),0)</f>
        <v>209</v>
      </c>
      <c r="E130" s="48">
        <f>ROUND(255-((255-E131)*F130),0)</f>
        <v>166</v>
      </c>
      <c r="F130" s="47">
        <v>0.75</v>
      </c>
      <c r="H130" s="48" t="str">
        <f>_xlfn.CONCAT("        --",B127,,B130,": rgba(",C130,", ",D130,", ",E130,", ","1.00",");")</f>
        <v xml:space="preserve">        --b5Light: rgba(118, 209, 166, 1.00);</v>
      </c>
      <c r="I130" s="48" t="str">
        <f>_xlfn.CONCAT("    .",B127,B130,"{","color: var(--",B127,B130,");","}")</f>
        <v xml:space="preserve">    .b5Light{color: var(--b5Light);}</v>
      </c>
      <c r="J130" s="48" t="str">
        <f t="shared" ref="J130" si="89">_xlfn.CONCAT("    .",B127,B130,"Bg","{","background-color: var(--",B127,B130,");","}")</f>
        <v xml:space="preserve">    .b5LightBg{background-color: var(--b5Light);}</v>
      </c>
    </row>
    <row r="131" spans="2:10" x14ac:dyDescent="0.45">
      <c r="B131" s="27" t="s">
        <v>28</v>
      </c>
      <c r="C131" s="50">
        <f>VLOOKUP(B127,$B$3:$E$21,2,FALSE)</f>
        <v>72</v>
      </c>
      <c r="D131" s="50">
        <f>VLOOKUP(B127,$B$3:$E$21,3,FALSE)</f>
        <v>193</v>
      </c>
      <c r="E131" s="50">
        <f>VLOOKUP(B127,$B$3:$E$21,4,FALSE)</f>
        <v>136</v>
      </c>
      <c r="F131" s="47">
        <v>0</v>
      </c>
      <c r="H131" s="48" t="str">
        <f>_xlfn.CONCAT("        --",B127,,B131,": rgba(",C131,", ",D131,", ",E131,", ","1.00",");")</f>
        <v xml:space="preserve">        --b5Normal: rgba(72, 193, 136, 1.00);</v>
      </c>
      <c r="I131" s="48" t="str">
        <f>_xlfn.CONCAT("    .",B127,B131,"{","color: var(--",B127,B131,");","}")</f>
        <v xml:space="preserve">    .b5Normal{color: var(--b5Normal);}</v>
      </c>
      <c r="J131" s="48" t="str">
        <f t="shared" ref="J131" si="90">_xlfn.CONCAT("    .",B127,B131,"Bg","{","background-color: var(--",B127,B131,");","}")</f>
        <v xml:space="preserve">    .b5NormalBg{background-color: var(--b5Normal);}</v>
      </c>
    </row>
    <row r="132" spans="2:10" x14ac:dyDescent="0.45">
      <c r="B132" s="27" t="s">
        <v>29</v>
      </c>
      <c r="C132" s="48">
        <f>ROUND(C131*(1+F132),0)</f>
        <v>54</v>
      </c>
      <c r="D132" s="48">
        <f>ROUND(D131*(1+F132),0)</f>
        <v>145</v>
      </c>
      <c r="E132" s="48">
        <f>ROUND(E131*(1+F132),0)</f>
        <v>102</v>
      </c>
      <c r="F132" s="47">
        <v>-0.25</v>
      </c>
      <c r="H132" s="48" t="str">
        <f>_xlfn.CONCAT("        --",B127,,B132,": rgba(",C132,", ",D132,", ",E132,", ","1.00",");")</f>
        <v xml:space="preserve">        --b5Dark: rgba(54, 145, 102, 1.00);</v>
      </c>
      <c r="I132" s="48" t="str">
        <f>_xlfn.CONCAT("    .",B127,B132,"{","color: var(--",B127,B132,");","}")</f>
        <v xml:space="preserve">    .b5Dark{color: var(--b5Dark);}</v>
      </c>
      <c r="J132" s="48" t="str">
        <f t="shared" ref="J132" si="91">_xlfn.CONCAT("    .",B127,B132,"Bg","{","background-color: var(--",B127,B132,");","}")</f>
        <v xml:space="preserve">    .b5DarkBg{background-color: var(--b5Dark);}</v>
      </c>
    </row>
    <row r="133" spans="2:10" x14ac:dyDescent="0.45">
      <c r="B133" s="27" t="s">
        <v>30</v>
      </c>
      <c r="C133" s="48">
        <f>ROUND(C131*(1+F133),0)</f>
        <v>36</v>
      </c>
      <c r="D133" s="48">
        <f>ROUND(D131*(1+F133),0)</f>
        <v>97</v>
      </c>
      <c r="E133" s="48">
        <f>ROUND(E131*(1+F133),0)</f>
        <v>68</v>
      </c>
      <c r="F133" s="47">
        <v>-0.5</v>
      </c>
      <c r="H133" s="48" t="str">
        <f>_xlfn.CONCAT("        --",B127,,B133,": rgba(",C133,", ",D133,", ",E133,", ","1.00",");")</f>
        <v xml:space="preserve">        --b5Darker: rgba(36, 97, 68, 1.00);</v>
      </c>
      <c r="I133" s="48" t="str">
        <f>_xlfn.CONCAT("    .",B127,B133,"{","color: var(--",B127,B133,");","}")</f>
        <v xml:space="preserve">    .b5Darker{color: var(--b5Darker);}</v>
      </c>
      <c r="J133" s="48" t="str">
        <f t="shared" ref="J133" si="92">_xlfn.CONCAT("    .",B127,B133,"Bg","{","background-color: var(--",B127,B133,");","}")</f>
        <v xml:space="preserve">    .b5DarkerBg{background-color: var(--b5Darker);}</v>
      </c>
    </row>
    <row r="134" spans="2:10" x14ac:dyDescent="0.45">
      <c r="B134" s="27" t="s">
        <v>31</v>
      </c>
      <c r="C134" s="48">
        <f>ROUND(C131*(1+F134),0)</f>
        <v>18</v>
      </c>
      <c r="D134" s="48">
        <f>ROUND(D131*(1+F134),0)</f>
        <v>48</v>
      </c>
      <c r="E134" s="48">
        <f>ROUND(E131*(1+F134),0)</f>
        <v>34</v>
      </c>
      <c r="F134" s="47">
        <v>-0.75</v>
      </c>
      <c r="H134" s="48" t="str">
        <f>_xlfn.CONCAT("        --",B127,,B134,": rgba(",C134,", ",D134,", ",E134,", ","1.00",");")</f>
        <v xml:space="preserve">        --b5Darkest: rgba(18, 48, 34, 1.00);</v>
      </c>
      <c r="I134" s="48" t="str">
        <f>_xlfn.CONCAT("    .",B127,B134,"{","color: var(--",B127,B134,");","}")</f>
        <v xml:space="preserve">    .b5Darkest{color: var(--b5Darkest);}</v>
      </c>
      <c r="J134" s="48" t="str">
        <f t="shared" ref="J134" si="93">_xlfn.CONCAT("    .",B127,B134,"Bg","{","background-color: var(--",B127,B134,");","}")</f>
        <v xml:space="preserve">    .b5DarkestBg{background-color: var(--b5Darkest);}</v>
      </c>
    </row>
    <row r="135" spans="2:10" x14ac:dyDescent="0.45">
      <c r="B135" s="46" t="s">
        <v>52</v>
      </c>
      <c r="C135" s="49" t="s">
        <v>33</v>
      </c>
      <c r="D135" s="49" t="s">
        <v>34</v>
      </c>
      <c r="E135" s="49" t="s">
        <v>35</v>
      </c>
      <c r="F135" s="49" t="s">
        <v>36</v>
      </c>
      <c r="H135" s="49"/>
      <c r="I135" s="49"/>
      <c r="J135" s="49"/>
    </row>
    <row r="136" spans="2:10" x14ac:dyDescent="0.45">
      <c r="B136" s="27" t="s">
        <v>25</v>
      </c>
      <c r="C136" s="48">
        <f>ROUND(255-((255-C139)*F136),0)</f>
        <v>206</v>
      </c>
      <c r="D136" s="48">
        <f>ROUND(255-((255-D139)*F136),0)</f>
        <v>229</v>
      </c>
      <c r="E136" s="48">
        <f>ROUND(255-((255-E139)*F136),0)</f>
        <v>239</v>
      </c>
      <c r="F136" s="47">
        <v>0.25</v>
      </c>
      <c r="H136" s="48" t="str">
        <f>_xlfn.CONCAT("        --",B135,,B136,": rgba(",C136,", ",D136,", ",E136,", ","1.00",");")</f>
        <v xml:space="preserve">        --b6Lightest: rgba(206, 229, 239, 1.00);</v>
      </c>
      <c r="I136" s="48" t="str">
        <f>_xlfn.CONCAT("    .",B135,B136,"{","color: var(--",B135,B136,");","}")</f>
        <v xml:space="preserve">    .b6Lightest{color: var(--b6Lightest);}</v>
      </c>
      <c r="J136" s="48" t="str">
        <f t="shared" ref="J136" si="94">_xlfn.CONCAT("    .",B135,B136,"Bg","{","background-color: var(--",B135,B136,");","}")</f>
        <v xml:space="preserve">    .b6LightestBg{background-color: var(--b6Lightest);}</v>
      </c>
    </row>
    <row r="137" spans="2:10" x14ac:dyDescent="0.45">
      <c r="B137" s="27" t="s">
        <v>26</v>
      </c>
      <c r="C137" s="48">
        <f>ROUND(255-((255-C139)*F137),0)</f>
        <v>156</v>
      </c>
      <c r="D137" s="48">
        <f>ROUND(255-((255-D139)*F137),0)</f>
        <v>204</v>
      </c>
      <c r="E137" s="48">
        <f>ROUND(255-((255-E139)*F137),0)</f>
        <v>223</v>
      </c>
      <c r="F137" s="47">
        <v>0.5</v>
      </c>
      <c r="H137" s="48" t="str">
        <f>_xlfn.CONCAT("        --",B135,,B137,": rgba(",C137,", ",D137,", ",E137,", ","1.00",");")</f>
        <v xml:space="preserve">        --b6Lighter: rgba(156, 204, 223, 1.00);</v>
      </c>
      <c r="I137" s="48" t="str">
        <f>_xlfn.CONCAT("    .",B135,B137,"{","color: var(--",B135,B137,");","}")</f>
        <v xml:space="preserve">    .b6Lighter{color: var(--b6Lighter);}</v>
      </c>
      <c r="J137" s="48" t="str">
        <f t="shared" ref="J137" si="95">_xlfn.CONCAT("    .",B135,B137,"Bg","{","background-color: var(--",B135,B137,");","}")</f>
        <v xml:space="preserve">    .b6LighterBg{background-color: var(--b6Lighter);}</v>
      </c>
    </row>
    <row r="138" spans="2:10" x14ac:dyDescent="0.45">
      <c r="B138" s="27" t="s">
        <v>27</v>
      </c>
      <c r="C138" s="48">
        <f>ROUND(255-((255-C139)*F138),0)</f>
        <v>107</v>
      </c>
      <c r="D138" s="48">
        <f>ROUND(255-((255-D139)*F138),0)</f>
        <v>178</v>
      </c>
      <c r="E138" s="48">
        <f>ROUND(255-((255-E139)*F138),0)</f>
        <v>207</v>
      </c>
      <c r="F138" s="47">
        <v>0.75</v>
      </c>
      <c r="H138" s="48" t="str">
        <f>_xlfn.CONCAT("        --",B135,,B138,": rgba(",C138,", ",D138,", ",E138,", ","1.00",");")</f>
        <v xml:space="preserve">        --b6Light: rgba(107, 178, 207, 1.00);</v>
      </c>
      <c r="I138" s="48" t="str">
        <f>_xlfn.CONCAT("    .",B135,B138,"{","color: var(--",B135,B138,");","}")</f>
        <v xml:space="preserve">    .b6Light{color: var(--b6Light);}</v>
      </c>
      <c r="J138" s="48" t="str">
        <f t="shared" ref="J138" si="96">_xlfn.CONCAT("    .",B135,B138,"Bg","{","background-color: var(--",B135,B138,");","}")</f>
        <v xml:space="preserve">    .b6LightBg{background-color: var(--b6Light);}</v>
      </c>
    </row>
    <row r="139" spans="2:10" x14ac:dyDescent="0.45">
      <c r="B139" s="27" t="s">
        <v>28</v>
      </c>
      <c r="C139" s="50">
        <f>VLOOKUP(B135,$B$3:$E$21,2,FALSE)</f>
        <v>57</v>
      </c>
      <c r="D139" s="50">
        <f>VLOOKUP(B135,$B$3:$E$21,3,FALSE)</f>
        <v>152</v>
      </c>
      <c r="E139" s="50">
        <f>VLOOKUP(B135,$B$3:$E$21,4,FALSE)</f>
        <v>191</v>
      </c>
      <c r="F139" s="47">
        <v>0</v>
      </c>
      <c r="H139" s="48" t="str">
        <f>_xlfn.CONCAT("        --",B135,,B139,": rgba(",C139,", ",D139,", ",E139,", ","1.00",");")</f>
        <v xml:space="preserve">        --b6Normal: rgba(57, 152, 191, 1.00);</v>
      </c>
      <c r="I139" s="48" t="str">
        <f>_xlfn.CONCAT("    .",B135,B139,"{","color: var(--",B135,B139,");","}")</f>
        <v xml:space="preserve">    .b6Normal{color: var(--b6Normal);}</v>
      </c>
      <c r="J139" s="48" t="str">
        <f t="shared" ref="J139" si="97">_xlfn.CONCAT("    .",B135,B139,"Bg","{","background-color: var(--",B135,B139,");","}")</f>
        <v xml:space="preserve">    .b6NormalBg{background-color: var(--b6Normal);}</v>
      </c>
    </row>
    <row r="140" spans="2:10" x14ac:dyDescent="0.45">
      <c r="B140" s="27" t="s">
        <v>29</v>
      </c>
      <c r="C140" s="48">
        <f>ROUND(C139*(1+F140),0)</f>
        <v>43</v>
      </c>
      <c r="D140" s="48">
        <f>ROUND(D139*(1+F140),0)</f>
        <v>114</v>
      </c>
      <c r="E140" s="48">
        <f>ROUND(E139*(1+F140),0)</f>
        <v>143</v>
      </c>
      <c r="F140" s="47">
        <v>-0.25</v>
      </c>
      <c r="H140" s="48" t="str">
        <f>_xlfn.CONCAT("        --",B135,,B140,": rgba(",C140,", ",D140,", ",E140,", ","1.00",");")</f>
        <v xml:space="preserve">        --b6Dark: rgba(43, 114, 143, 1.00);</v>
      </c>
      <c r="I140" s="48" t="str">
        <f>_xlfn.CONCAT("    .",B135,B140,"{","color: var(--",B135,B140,");","}")</f>
        <v xml:space="preserve">    .b6Dark{color: var(--b6Dark);}</v>
      </c>
      <c r="J140" s="48" t="str">
        <f t="shared" ref="J140" si="98">_xlfn.CONCAT("    .",B135,B140,"Bg","{","background-color: var(--",B135,B140,");","}")</f>
        <v xml:space="preserve">    .b6DarkBg{background-color: var(--b6Dark);}</v>
      </c>
    </row>
    <row r="141" spans="2:10" x14ac:dyDescent="0.45">
      <c r="B141" s="27" t="s">
        <v>30</v>
      </c>
      <c r="C141" s="48">
        <f>ROUND(C139*(1+F141),0)</f>
        <v>29</v>
      </c>
      <c r="D141" s="48">
        <f>ROUND(D139*(1+F141),0)</f>
        <v>76</v>
      </c>
      <c r="E141" s="48">
        <f>ROUND(E139*(1+F141),0)</f>
        <v>96</v>
      </c>
      <c r="F141" s="47">
        <v>-0.5</v>
      </c>
      <c r="H141" s="48" t="str">
        <f>_xlfn.CONCAT("        --",B135,,B141,": rgba(",C141,", ",D141,", ",E141,", ","1.00",");")</f>
        <v xml:space="preserve">        --b6Darker: rgba(29, 76, 96, 1.00);</v>
      </c>
      <c r="I141" s="48" t="str">
        <f>_xlfn.CONCAT("    .",B135,B141,"{","color: var(--",B135,B141,");","}")</f>
        <v xml:space="preserve">    .b6Darker{color: var(--b6Darker);}</v>
      </c>
      <c r="J141" s="48" t="str">
        <f t="shared" ref="J141" si="99">_xlfn.CONCAT("    .",B135,B141,"Bg","{","background-color: var(--",B135,B141,");","}")</f>
        <v xml:space="preserve">    .b6DarkerBg{background-color: var(--b6Darker);}</v>
      </c>
    </row>
    <row r="142" spans="2:10" x14ac:dyDescent="0.45">
      <c r="B142" s="27" t="s">
        <v>31</v>
      </c>
      <c r="C142" s="48">
        <f>ROUND(C139*(1+F142),0)</f>
        <v>14</v>
      </c>
      <c r="D142" s="48">
        <f>ROUND(D139*(1+F142),0)</f>
        <v>38</v>
      </c>
      <c r="E142" s="48">
        <f>ROUND(E139*(1+F142),0)</f>
        <v>48</v>
      </c>
      <c r="F142" s="47">
        <v>-0.75</v>
      </c>
      <c r="H142" s="48" t="str">
        <f>_xlfn.CONCAT("        --",B135,,B142,": rgba(",C142,", ",D142,", ",E142,", ","1.00",");")</f>
        <v xml:space="preserve">        --b6Darkest: rgba(14, 38, 48, 1.00);</v>
      </c>
      <c r="I142" s="48" t="str">
        <f>_xlfn.CONCAT("    .",B135,B142,"{","color: var(--",B135,B142,");","}")</f>
        <v xml:space="preserve">    .b6Darkest{color: var(--b6Darkest);}</v>
      </c>
      <c r="J142" s="48" t="str">
        <f t="shared" ref="J142" si="100">_xlfn.CONCAT("    .",B135,B142,"Bg","{","background-color: var(--",B135,B142,");","}")</f>
        <v xml:space="preserve">    .b6DarkestBg{background-color: var(--b6Darkest);}</v>
      </c>
    </row>
    <row r="143" spans="2:10" x14ac:dyDescent="0.45">
      <c r="B143" s="46" t="s">
        <v>53</v>
      </c>
      <c r="C143" s="49" t="s">
        <v>33</v>
      </c>
      <c r="D143" s="49" t="s">
        <v>34</v>
      </c>
      <c r="E143" s="49" t="s">
        <v>35</v>
      </c>
      <c r="F143" s="49" t="s">
        <v>36</v>
      </c>
      <c r="H143" s="49"/>
      <c r="I143" s="49"/>
      <c r="J143" s="49"/>
    </row>
    <row r="144" spans="2:10" x14ac:dyDescent="0.45">
      <c r="B144" s="27" t="s">
        <v>25</v>
      </c>
      <c r="C144" s="48">
        <f>ROUND(255-((255-C147)*F144),0)</f>
        <v>209</v>
      </c>
      <c r="D144" s="48">
        <f>ROUND(255-((255-D147)*F144),0)</f>
        <v>219</v>
      </c>
      <c r="E144" s="48">
        <f>ROUND(255-((255-E147)*F144),0)</f>
        <v>247</v>
      </c>
      <c r="F144" s="47">
        <v>0.25</v>
      </c>
      <c r="H144" s="48" t="str">
        <f>_xlfn.CONCAT("        --",B143,,B144,": rgba(",C144,", ",D144,", ",E144,", ","1.00",");")</f>
        <v xml:space="preserve">        --b7Lightest: rgba(209, 219, 247, 1.00);</v>
      </c>
      <c r="I144" s="48" t="str">
        <f>_xlfn.CONCAT("    .",B143,B144,"{","color: var(--",B143,B144,");","}")</f>
        <v xml:space="preserve">    .b7Lightest{color: var(--b7Lightest);}</v>
      </c>
      <c r="J144" s="48" t="str">
        <f t="shared" ref="J144" si="101">_xlfn.CONCAT("    .",B143,B144,"Bg","{","background-color: var(--",B143,B144,");","}")</f>
        <v xml:space="preserve">    .b7LightestBg{background-color: var(--b7Lightest);}</v>
      </c>
    </row>
    <row r="145" spans="2:10" x14ac:dyDescent="0.45">
      <c r="B145" s="27" t="s">
        <v>26</v>
      </c>
      <c r="C145" s="48">
        <f>ROUND(255-((255-C147)*F145),0)</f>
        <v>163</v>
      </c>
      <c r="D145" s="48">
        <f>ROUND(255-((255-D147)*F145),0)</f>
        <v>182</v>
      </c>
      <c r="E145" s="48">
        <f>ROUND(255-((255-E147)*F145),0)</f>
        <v>238</v>
      </c>
      <c r="F145" s="47">
        <v>0.5</v>
      </c>
      <c r="H145" s="48" t="str">
        <f>_xlfn.CONCAT("        --",B143,,B145,": rgba(",C145,", ",D145,", ",E145,", ","1.00",");")</f>
        <v xml:space="preserve">        --b7Lighter: rgba(163, 182, 238, 1.00);</v>
      </c>
      <c r="I145" s="48" t="str">
        <f>_xlfn.CONCAT("    .",B143,B145,"{","color: var(--",B143,B145,");","}")</f>
        <v xml:space="preserve">    .b7Lighter{color: var(--b7Lighter);}</v>
      </c>
      <c r="J145" s="48" t="str">
        <f t="shared" ref="J145" si="102">_xlfn.CONCAT("    .",B143,B145,"Bg","{","background-color: var(--",B143,B145,");","}")</f>
        <v xml:space="preserve">    .b7LighterBg{background-color: var(--b7Lighter);}</v>
      </c>
    </row>
    <row r="146" spans="2:10" x14ac:dyDescent="0.45">
      <c r="B146" s="27" t="s">
        <v>27</v>
      </c>
      <c r="C146" s="48">
        <f>ROUND(255-((255-C147)*F146),0)</f>
        <v>116</v>
      </c>
      <c r="D146" s="48">
        <f>ROUND(255-((255-D147)*F146),0)</f>
        <v>146</v>
      </c>
      <c r="E146" s="48">
        <f>ROUND(255-((255-E147)*F146),0)</f>
        <v>230</v>
      </c>
      <c r="F146" s="47">
        <v>0.75</v>
      </c>
      <c r="H146" s="48" t="str">
        <f>_xlfn.CONCAT("        --",B143,,B146,": rgba(",C146,", ",D146,", ",E146,", ","1.00",");")</f>
        <v xml:space="preserve">        --b7Light: rgba(116, 146, 230, 1.00);</v>
      </c>
      <c r="I146" s="48" t="str">
        <f>_xlfn.CONCAT("    .",B143,B146,"{","color: var(--",B143,B146,");","}")</f>
        <v xml:space="preserve">    .b7Light{color: var(--b7Light);}</v>
      </c>
      <c r="J146" s="48" t="str">
        <f t="shared" ref="J146" si="103">_xlfn.CONCAT("    .",B143,B146,"Bg","{","background-color: var(--",B143,B146,");","}")</f>
        <v xml:space="preserve">    .b7LightBg{background-color: var(--b7Light);}</v>
      </c>
    </row>
    <row r="147" spans="2:10" x14ac:dyDescent="0.45">
      <c r="B147" s="27" t="s">
        <v>28</v>
      </c>
      <c r="C147" s="50">
        <f>VLOOKUP(B143,$B$3:$E$21,2,FALSE)</f>
        <v>70</v>
      </c>
      <c r="D147" s="50">
        <f>VLOOKUP(B143,$B$3:$E$21,3,FALSE)</f>
        <v>109</v>
      </c>
      <c r="E147" s="50">
        <f>VLOOKUP(B143,$B$3:$E$21,4,FALSE)</f>
        <v>221</v>
      </c>
      <c r="F147" s="47">
        <v>0</v>
      </c>
      <c r="H147" s="48" t="str">
        <f>_xlfn.CONCAT("        --",B143,,B147,": rgba(",C147,", ",D147,", ",E147,", ","1.00",");")</f>
        <v xml:space="preserve">        --b7Normal: rgba(70, 109, 221, 1.00);</v>
      </c>
      <c r="I147" s="48" t="str">
        <f>_xlfn.CONCAT("    .",B143,B147,"{","color: var(--",B143,B147,");","}")</f>
        <v xml:space="preserve">    .b7Normal{color: var(--b7Normal);}</v>
      </c>
      <c r="J147" s="48" t="str">
        <f t="shared" ref="J147" si="104">_xlfn.CONCAT("    .",B143,B147,"Bg","{","background-color: var(--",B143,B147,");","}")</f>
        <v xml:space="preserve">    .b7NormalBg{background-color: var(--b7Normal);}</v>
      </c>
    </row>
    <row r="148" spans="2:10" x14ac:dyDescent="0.45">
      <c r="B148" s="27" t="s">
        <v>29</v>
      </c>
      <c r="C148" s="48">
        <f>ROUND(C147*(1+F148),0)</f>
        <v>53</v>
      </c>
      <c r="D148" s="48">
        <f>ROUND(D147*(1+F148),0)</f>
        <v>82</v>
      </c>
      <c r="E148" s="48">
        <f>ROUND(E147*(1+F148),0)</f>
        <v>166</v>
      </c>
      <c r="F148" s="47">
        <v>-0.25</v>
      </c>
      <c r="H148" s="48" t="str">
        <f>_xlfn.CONCAT("        --",B143,,B148,": rgba(",C148,", ",D148,", ",E148,", ","1.00",");")</f>
        <v xml:space="preserve">        --b7Dark: rgba(53, 82, 166, 1.00);</v>
      </c>
      <c r="I148" s="48" t="str">
        <f>_xlfn.CONCAT("    .",B143,B148,"{","color: var(--",B143,B148,");","}")</f>
        <v xml:space="preserve">    .b7Dark{color: var(--b7Dark);}</v>
      </c>
      <c r="J148" s="48" t="str">
        <f t="shared" ref="J148" si="105">_xlfn.CONCAT("    .",B143,B148,"Bg","{","background-color: var(--",B143,B148,");","}")</f>
        <v xml:space="preserve">    .b7DarkBg{background-color: var(--b7Dark);}</v>
      </c>
    </row>
    <row r="149" spans="2:10" x14ac:dyDescent="0.45">
      <c r="B149" s="27" t="s">
        <v>30</v>
      </c>
      <c r="C149" s="48">
        <f>ROUND(C147*(1+F149),0)</f>
        <v>35</v>
      </c>
      <c r="D149" s="48">
        <f>ROUND(D147*(1+F149),0)</f>
        <v>55</v>
      </c>
      <c r="E149" s="48">
        <f>ROUND(E147*(1+F149),0)</f>
        <v>111</v>
      </c>
      <c r="F149" s="47">
        <v>-0.5</v>
      </c>
      <c r="H149" s="48" t="str">
        <f>_xlfn.CONCAT("        --",B143,,B149,": rgba(",C149,", ",D149,", ",E149,", ","1.00",");")</f>
        <v xml:space="preserve">        --b7Darker: rgba(35, 55, 111, 1.00);</v>
      </c>
      <c r="I149" s="48" t="str">
        <f>_xlfn.CONCAT("    .",B143,B149,"{","color: var(--",B143,B149,");","}")</f>
        <v xml:space="preserve">    .b7Darker{color: var(--b7Darker);}</v>
      </c>
      <c r="J149" s="48" t="str">
        <f t="shared" ref="J149" si="106">_xlfn.CONCAT("    .",B143,B149,"Bg","{","background-color: var(--",B143,B149,");","}")</f>
        <v xml:space="preserve">    .b7DarkerBg{background-color: var(--b7Darker);}</v>
      </c>
    </row>
    <row r="150" spans="2:10" x14ac:dyDescent="0.45">
      <c r="B150" s="27" t="s">
        <v>31</v>
      </c>
      <c r="C150" s="48">
        <f>ROUND(C147*(1+F150),0)</f>
        <v>18</v>
      </c>
      <c r="D150" s="48">
        <f>ROUND(D147*(1+F150),0)</f>
        <v>27</v>
      </c>
      <c r="E150" s="48">
        <f>ROUND(E147*(1+F150),0)</f>
        <v>55</v>
      </c>
      <c r="F150" s="47">
        <v>-0.75</v>
      </c>
      <c r="H150" s="48" t="str">
        <f>_xlfn.CONCAT("        --",B143,,B150,": rgba(",C150,", ",D150,", ",E150,", ","1.00",");")</f>
        <v xml:space="preserve">        --b7Darkest: rgba(18, 27, 55, 1.00);</v>
      </c>
      <c r="I150" s="48" t="str">
        <f>_xlfn.CONCAT("    .",B143,B150,"{","color: var(--",B143,B150,");","}")</f>
        <v xml:space="preserve">    .b7Darkest{color: var(--b7Darkest);}</v>
      </c>
      <c r="J150" s="48" t="str">
        <f t="shared" ref="J150" si="107">_xlfn.CONCAT("    .",B143,B150,"Bg","{","background-color: var(--",B143,B150,");","}")</f>
        <v xml:space="preserve">    .b7DarkestBg{background-color: var(--b7Darkest);}</v>
      </c>
    </row>
    <row r="151" spans="2:10" x14ac:dyDescent="0.45">
      <c r="B151" s="46" t="s">
        <v>54</v>
      </c>
      <c r="C151" s="49" t="s">
        <v>33</v>
      </c>
      <c r="D151" s="49" t="s">
        <v>34</v>
      </c>
      <c r="E151" s="49" t="s">
        <v>35</v>
      </c>
      <c r="F151" s="49" t="s">
        <v>36</v>
      </c>
      <c r="H151" s="49"/>
      <c r="I151" s="49"/>
      <c r="J151" s="49"/>
    </row>
    <row r="152" spans="2:10" x14ac:dyDescent="0.45">
      <c r="B152" s="27" t="s">
        <v>25</v>
      </c>
      <c r="C152" s="48">
        <f>ROUND(255-((255-C155)*F152),0)</f>
        <v>226</v>
      </c>
      <c r="D152" s="48">
        <f>ROUND(255-((255-D155)*F152),0)</f>
        <v>217</v>
      </c>
      <c r="E152" s="48">
        <f>ROUND(255-((255-E155)*F152),0)</f>
        <v>232</v>
      </c>
      <c r="F152" s="47">
        <v>0.25</v>
      </c>
      <c r="H152" s="48" t="str">
        <f>_xlfn.CONCAT("        --",B151,,B152,": rgba(",C152,", ",D152,", ",E152,", ","1.00",");")</f>
        <v xml:space="preserve">        --b8Lightest: rgba(226, 217, 232, 1.00);</v>
      </c>
      <c r="I152" s="48" t="str">
        <f>_xlfn.CONCAT("    .",B151,B152,"{","color: var(--",B151,B152,");","}")</f>
        <v xml:space="preserve">    .b8Lightest{color: var(--b8Lightest);}</v>
      </c>
      <c r="J152" s="48" t="str">
        <f t="shared" ref="J152" si="108">_xlfn.CONCAT("    .",B151,B152,"Bg","{","background-color: var(--",B151,B152,");","}")</f>
        <v xml:space="preserve">    .b8LightestBg{background-color: var(--b8Lightest);}</v>
      </c>
    </row>
    <row r="153" spans="2:10" x14ac:dyDescent="0.45">
      <c r="B153" s="27" t="s">
        <v>26</v>
      </c>
      <c r="C153" s="48">
        <f>ROUND(255-((255-C155)*F153),0)</f>
        <v>197</v>
      </c>
      <c r="D153" s="48">
        <f>ROUND(255-((255-D155)*F153),0)</f>
        <v>178</v>
      </c>
      <c r="E153" s="48">
        <f>ROUND(255-((255-E155)*F153),0)</f>
        <v>208</v>
      </c>
      <c r="F153" s="47">
        <v>0.5</v>
      </c>
      <c r="H153" s="48" t="str">
        <f>_xlfn.CONCAT("        --",B151,,B153,": rgba(",C153,", ",D153,", ",E153,", ","1.00",");")</f>
        <v xml:space="preserve">        --b8Lighter: rgba(197, 178, 208, 1.00);</v>
      </c>
      <c r="I153" s="48" t="str">
        <f>_xlfn.CONCAT("    .",B151,B153,"{","color: var(--",B151,B153,");","}")</f>
        <v xml:space="preserve">    .b8Lighter{color: var(--b8Lighter);}</v>
      </c>
      <c r="J153" s="48" t="str">
        <f t="shared" ref="J153" si="109">_xlfn.CONCAT("    .",B151,B153,"Bg","{","background-color: var(--",B151,B153,");","}")</f>
        <v xml:space="preserve">    .b8LighterBg{background-color: var(--b8Lighter);}</v>
      </c>
    </row>
    <row r="154" spans="2:10" x14ac:dyDescent="0.45">
      <c r="B154" s="27" t="s">
        <v>27</v>
      </c>
      <c r="C154" s="48">
        <f>ROUND(255-((255-C155)*F154),0)</f>
        <v>167</v>
      </c>
      <c r="D154" s="48">
        <f>ROUND(255-((255-D155)*F154),0)</f>
        <v>140</v>
      </c>
      <c r="E154" s="48">
        <f>ROUND(255-((255-E155)*F154),0)</f>
        <v>185</v>
      </c>
      <c r="F154" s="47">
        <v>0.75</v>
      </c>
      <c r="H154" s="48" t="str">
        <f>_xlfn.CONCAT("        --",B151,,B154,": rgba(",C154,", ",D154,", ",E154,", ","1.00",");")</f>
        <v xml:space="preserve">        --b8Light: rgba(167, 140, 185, 1.00);</v>
      </c>
      <c r="I154" s="48" t="str">
        <f>_xlfn.CONCAT("    .",B151,B154,"{","color: var(--",B151,B154,");","}")</f>
        <v xml:space="preserve">    .b8Light{color: var(--b8Light);}</v>
      </c>
      <c r="J154" s="48" t="str">
        <f t="shared" ref="J154" si="110">_xlfn.CONCAT("    .",B151,B154,"Bg","{","background-color: var(--",B151,B154,");","}")</f>
        <v xml:space="preserve">    .b8LightBg{background-color: var(--b8Light);}</v>
      </c>
    </row>
    <row r="155" spans="2:10" x14ac:dyDescent="0.45">
      <c r="B155" s="27" t="s">
        <v>28</v>
      </c>
      <c r="C155" s="50">
        <f>VLOOKUP(B151,$B$3:$E$21,2,FALSE)</f>
        <v>138</v>
      </c>
      <c r="D155" s="50">
        <f>VLOOKUP(B151,$B$3:$E$21,3,FALSE)</f>
        <v>101</v>
      </c>
      <c r="E155" s="50">
        <f>VLOOKUP(B151,$B$3:$E$21,4,FALSE)</f>
        <v>161</v>
      </c>
      <c r="F155" s="47">
        <v>0</v>
      </c>
      <c r="H155" s="48" t="str">
        <f>_xlfn.CONCAT("        --",B151,,B155,": rgba(",C155,", ",D155,", ",E155,", ","1.00",");")</f>
        <v xml:space="preserve">        --b8Normal: rgba(138, 101, 161, 1.00);</v>
      </c>
      <c r="I155" s="48" t="str">
        <f>_xlfn.CONCAT("    .",B151,B155,"{","color: var(--",B151,B155,");","}")</f>
        <v xml:space="preserve">    .b8Normal{color: var(--b8Normal);}</v>
      </c>
      <c r="J155" s="48" t="str">
        <f t="shared" ref="J155" si="111">_xlfn.CONCAT("    .",B151,B155,"Bg","{","background-color: var(--",B151,B155,");","}")</f>
        <v xml:space="preserve">    .b8NormalBg{background-color: var(--b8Normal);}</v>
      </c>
    </row>
    <row r="156" spans="2:10" x14ac:dyDescent="0.45">
      <c r="B156" s="27" t="s">
        <v>29</v>
      </c>
      <c r="C156" s="48">
        <f>ROUND(C155*(1+F156),0)</f>
        <v>104</v>
      </c>
      <c r="D156" s="48">
        <f>ROUND(D155*(1+F156),0)</f>
        <v>76</v>
      </c>
      <c r="E156" s="48">
        <f>ROUND(E155*(1+F156),0)</f>
        <v>121</v>
      </c>
      <c r="F156" s="47">
        <v>-0.25</v>
      </c>
      <c r="H156" s="48" t="str">
        <f>_xlfn.CONCAT("        --",B151,,B156,": rgba(",C156,", ",D156,", ",E156,", ","1.00",");")</f>
        <v xml:space="preserve">        --b8Dark: rgba(104, 76, 121, 1.00);</v>
      </c>
      <c r="I156" s="48" t="str">
        <f>_xlfn.CONCAT("    .",B151,B156,"{","color: var(--",B151,B156,");","}")</f>
        <v xml:space="preserve">    .b8Dark{color: var(--b8Dark);}</v>
      </c>
      <c r="J156" s="48" t="str">
        <f t="shared" ref="J156" si="112">_xlfn.CONCAT("    .",B151,B156,"Bg","{","background-color: var(--",B151,B156,");","}")</f>
        <v xml:space="preserve">    .b8DarkBg{background-color: var(--b8Dark);}</v>
      </c>
    </row>
    <row r="157" spans="2:10" x14ac:dyDescent="0.45">
      <c r="B157" s="27" t="s">
        <v>30</v>
      </c>
      <c r="C157" s="48">
        <f>ROUND(C155*(1+F157),0)</f>
        <v>69</v>
      </c>
      <c r="D157" s="48">
        <f>ROUND(D155*(1+F157),0)</f>
        <v>51</v>
      </c>
      <c r="E157" s="48">
        <f>ROUND(E155*(1+F157),0)</f>
        <v>81</v>
      </c>
      <c r="F157" s="47">
        <v>-0.5</v>
      </c>
      <c r="H157" s="48" t="str">
        <f>_xlfn.CONCAT("        --",B151,,B157,": rgba(",C157,", ",D157,", ",E157,", ","1.00",");")</f>
        <v xml:space="preserve">        --b8Darker: rgba(69, 51, 81, 1.00);</v>
      </c>
      <c r="I157" s="48" t="str">
        <f>_xlfn.CONCAT("    .",B151,B157,"{","color: var(--",B151,B157,");","}")</f>
        <v xml:space="preserve">    .b8Darker{color: var(--b8Darker);}</v>
      </c>
      <c r="J157" s="48" t="str">
        <f t="shared" ref="J157" si="113">_xlfn.CONCAT("    .",B151,B157,"Bg","{","background-color: var(--",B151,B157,");","}")</f>
        <v xml:space="preserve">    .b8DarkerBg{background-color: var(--b8Darker);}</v>
      </c>
    </row>
    <row r="158" spans="2:10" x14ac:dyDescent="0.45">
      <c r="B158" s="27" t="s">
        <v>31</v>
      </c>
      <c r="C158" s="48">
        <f>ROUND(C155*(1+F158),0)</f>
        <v>35</v>
      </c>
      <c r="D158" s="48">
        <f>ROUND(D155*(1+F158),0)</f>
        <v>25</v>
      </c>
      <c r="E158" s="48">
        <f>ROUND(E155*(1+F158),0)</f>
        <v>40</v>
      </c>
      <c r="F158" s="47">
        <v>-0.75</v>
      </c>
      <c r="H158" s="48" t="str">
        <f>_xlfn.CONCAT("        --",B151,,B158,": rgba(",C158,", ",D158,", ",E158,", ","1.00",");")</f>
        <v xml:space="preserve">        --b8Darkest: rgba(35, 25, 40, 1.00);</v>
      </c>
      <c r="I158" s="48" t="str">
        <f>_xlfn.CONCAT("    .",B151,B158,"{","color: var(--",B151,B158,");","}")</f>
        <v xml:space="preserve">    .b8Darkest{color: var(--b8Darkest);}</v>
      </c>
      <c r="J158" s="48" t="str">
        <f t="shared" ref="J158" si="114">_xlfn.CONCAT("    .",B151,B158,"Bg","{","background-color: var(--",B151,B158,");","}")</f>
        <v xml:space="preserve">    .b8DarkestBg{background-color: var(--b8Darkest);}</v>
      </c>
    </row>
    <row r="159" spans="2:10" x14ac:dyDescent="0.45">
      <c r="B159" s="46" t="s">
        <v>55</v>
      </c>
      <c r="C159" s="49" t="s">
        <v>33</v>
      </c>
      <c r="D159" s="49" t="s">
        <v>34</v>
      </c>
      <c r="E159" s="49" t="s">
        <v>35</v>
      </c>
      <c r="F159" s="49" t="s">
        <v>36</v>
      </c>
      <c r="H159" s="49"/>
      <c r="I159" s="49"/>
      <c r="J159" s="49"/>
    </row>
    <row r="160" spans="2:10" x14ac:dyDescent="0.45">
      <c r="B160" s="27" t="s">
        <v>25</v>
      </c>
      <c r="C160" s="48">
        <f>ROUND(255-((255-C163)*F160),0)</f>
        <v>232</v>
      </c>
      <c r="D160" s="48">
        <f>ROUND(255-((255-D163)*F160),0)</f>
        <v>218</v>
      </c>
      <c r="E160" s="48">
        <f>ROUND(255-((255-E163)*F160),0)</f>
        <v>224</v>
      </c>
      <c r="F160" s="47">
        <v>0.25</v>
      </c>
      <c r="H160" s="48" t="str">
        <f>_xlfn.CONCAT("        --",B159,,B160,": rgba(",C160,", ",D160,", ",E160,", ","1.00",");")</f>
        <v xml:space="preserve">        --b9Lightest: rgba(232, 218, 224, 1.00);</v>
      </c>
      <c r="I160" s="48" t="str">
        <f>_xlfn.CONCAT("    .",B159,B160,"{","color: var(--",B159,B160,");","}")</f>
        <v xml:space="preserve">    .b9Lightest{color: var(--b9Lightest);}</v>
      </c>
      <c r="J160" s="48" t="str">
        <f t="shared" ref="J160" si="115">_xlfn.CONCAT("    .",B159,B160,"Bg","{","background-color: var(--",B159,B160,");","}")</f>
        <v xml:space="preserve">    .b9LightestBg{background-color: var(--b9Lightest);}</v>
      </c>
    </row>
    <row r="161" spans="2:10" x14ac:dyDescent="0.45">
      <c r="B161" s="27" t="s">
        <v>26</v>
      </c>
      <c r="C161" s="48">
        <f>ROUND(255-((255-C163)*F161),0)</f>
        <v>209</v>
      </c>
      <c r="D161" s="48">
        <f>ROUND(255-((255-D163)*F161),0)</f>
        <v>181</v>
      </c>
      <c r="E161" s="48">
        <f>ROUND(255-((255-E163)*F161),0)</f>
        <v>193</v>
      </c>
      <c r="F161" s="47">
        <v>0.5</v>
      </c>
      <c r="H161" s="48" t="str">
        <f>_xlfn.CONCAT("        --",B159,,B161,": rgba(",C161,", ",D161,", ",E161,", ","1.00",");")</f>
        <v xml:space="preserve">        --b9Lighter: rgba(209, 181, 193, 1.00);</v>
      </c>
      <c r="I161" s="48" t="str">
        <f>_xlfn.CONCAT("    .",B159,B161,"{","color: var(--",B159,B161,");","}")</f>
        <v xml:space="preserve">    .b9Lighter{color: var(--b9Lighter);}</v>
      </c>
      <c r="J161" s="48" t="str">
        <f t="shared" ref="J161" si="116">_xlfn.CONCAT("    .",B159,B161,"Bg","{","background-color: var(--",B159,B161,");","}")</f>
        <v xml:space="preserve">    .b9LighterBg{background-color: var(--b9Lighter);}</v>
      </c>
    </row>
    <row r="162" spans="2:10" x14ac:dyDescent="0.45">
      <c r="B162" s="27" t="s">
        <v>27</v>
      </c>
      <c r="C162" s="48">
        <f>ROUND(255-((255-C163)*F162),0)</f>
        <v>186</v>
      </c>
      <c r="D162" s="48">
        <f>ROUND(255-((255-D163)*F162),0)</f>
        <v>143</v>
      </c>
      <c r="E162" s="48">
        <f>ROUND(255-((255-E163)*F162),0)</f>
        <v>162</v>
      </c>
      <c r="F162" s="47">
        <v>0.75</v>
      </c>
      <c r="H162" s="48" t="str">
        <f>_xlfn.CONCAT("        --",B159,,B162,": rgba(",C162,", ",D162,", ",E162,", ","1.00",");")</f>
        <v xml:space="preserve">        --b9Light: rgba(186, 143, 162, 1.00);</v>
      </c>
      <c r="I162" s="48" t="str">
        <f>_xlfn.CONCAT("    .",B159,B162,"{","color: var(--",B159,B162,");","}")</f>
        <v xml:space="preserve">    .b9Light{color: var(--b9Light);}</v>
      </c>
      <c r="J162" s="48" t="str">
        <f t="shared" ref="J162" si="117">_xlfn.CONCAT("    .",B159,B162,"Bg","{","background-color: var(--",B159,B162,");","}")</f>
        <v xml:space="preserve">    .b9LightBg{background-color: var(--b9Light);}</v>
      </c>
    </row>
    <row r="163" spans="2:10" x14ac:dyDescent="0.45">
      <c r="B163" s="27" t="s">
        <v>28</v>
      </c>
      <c r="C163" s="50">
        <f>VLOOKUP(B159,$B$3:$E$21,2,FALSE)</f>
        <v>163</v>
      </c>
      <c r="D163" s="50">
        <f>VLOOKUP(B159,$B$3:$E$21,3,FALSE)</f>
        <v>106</v>
      </c>
      <c r="E163" s="50">
        <f>VLOOKUP(B159,$B$3:$E$21,4,FALSE)</f>
        <v>131</v>
      </c>
      <c r="F163" s="47">
        <v>0</v>
      </c>
      <c r="H163" s="48" t="str">
        <f>_xlfn.CONCAT("        --",B159,,B163,": rgba(",C163,", ",D163,", ",E163,", ","1.00",");")</f>
        <v xml:space="preserve">        --b9Normal: rgba(163, 106, 131, 1.00);</v>
      </c>
      <c r="I163" s="48" t="str">
        <f>_xlfn.CONCAT("    .",B159,B163,"{","color: var(--",B159,B163,");","}")</f>
        <v xml:space="preserve">    .b9Normal{color: var(--b9Normal);}</v>
      </c>
      <c r="J163" s="48" t="str">
        <f t="shared" ref="J163" si="118">_xlfn.CONCAT("    .",B159,B163,"Bg","{","background-color: var(--",B159,B163,");","}")</f>
        <v xml:space="preserve">    .b9NormalBg{background-color: var(--b9Normal);}</v>
      </c>
    </row>
    <row r="164" spans="2:10" x14ac:dyDescent="0.45">
      <c r="B164" s="27" t="s">
        <v>29</v>
      </c>
      <c r="C164" s="48">
        <f>ROUND(C163*(1+F164),0)</f>
        <v>122</v>
      </c>
      <c r="D164" s="48">
        <f>ROUND(D163*(1+F164),0)</f>
        <v>80</v>
      </c>
      <c r="E164" s="48">
        <f>ROUND(E163*(1+F164),0)</f>
        <v>98</v>
      </c>
      <c r="F164" s="47">
        <v>-0.25</v>
      </c>
      <c r="H164" s="48" t="str">
        <f>_xlfn.CONCAT("        --",B159,,B164,": rgba(",C164,", ",D164,", ",E164,", ","1.00",");")</f>
        <v xml:space="preserve">        --b9Dark: rgba(122, 80, 98, 1.00);</v>
      </c>
      <c r="I164" s="48" t="str">
        <f>_xlfn.CONCAT("    .",B159,B164,"{","color: var(--",B159,B164,");","}")</f>
        <v xml:space="preserve">    .b9Dark{color: var(--b9Dark);}</v>
      </c>
      <c r="J164" s="48" t="str">
        <f t="shared" ref="J164" si="119">_xlfn.CONCAT("    .",B159,B164,"Bg","{","background-color: var(--",B159,B164,");","}")</f>
        <v xml:space="preserve">    .b9DarkBg{background-color: var(--b9Dark);}</v>
      </c>
    </row>
    <row r="165" spans="2:10" x14ac:dyDescent="0.45">
      <c r="B165" s="27" t="s">
        <v>30</v>
      </c>
      <c r="C165" s="48">
        <f>ROUND(C163*(1+F165),0)</f>
        <v>82</v>
      </c>
      <c r="D165" s="48">
        <f>ROUND(D163*(1+F165),0)</f>
        <v>53</v>
      </c>
      <c r="E165" s="48">
        <f>ROUND(E163*(1+F165),0)</f>
        <v>66</v>
      </c>
      <c r="F165" s="47">
        <v>-0.5</v>
      </c>
      <c r="H165" s="48" t="str">
        <f>_xlfn.CONCAT("        --",B159,,B165,": rgba(",C165,", ",D165,", ",E165,", ","1.00",");")</f>
        <v xml:space="preserve">        --b9Darker: rgba(82, 53, 66, 1.00);</v>
      </c>
      <c r="I165" s="48" t="str">
        <f>_xlfn.CONCAT("    .",B159,B165,"{","color: var(--",B159,B165,");","}")</f>
        <v xml:space="preserve">    .b9Darker{color: var(--b9Darker);}</v>
      </c>
      <c r="J165" s="48" t="str">
        <f t="shared" ref="J165" si="120">_xlfn.CONCAT("    .",B159,B165,"Bg","{","background-color: var(--",B159,B165,");","}")</f>
        <v xml:space="preserve">    .b9DarkerBg{background-color: var(--b9Darker);}</v>
      </c>
    </row>
    <row r="166" spans="2:10" x14ac:dyDescent="0.45">
      <c r="B166" s="27" t="s">
        <v>31</v>
      </c>
      <c r="C166" s="48">
        <f>ROUND(C163*(1+F166),0)</f>
        <v>41</v>
      </c>
      <c r="D166" s="48">
        <f>ROUND(D163*(1+F166),0)</f>
        <v>27</v>
      </c>
      <c r="E166" s="48">
        <f>ROUND(E163*(1+F166),0)</f>
        <v>33</v>
      </c>
      <c r="F166" s="47">
        <v>-0.75</v>
      </c>
      <c r="H166" s="48" t="str">
        <f>_xlfn.CONCAT("        --",B159,,B166,": rgba(",C166,", ",D166,", ",E166,", ","1.00",");")</f>
        <v xml:space="preserve">        --b9Darkest: rgba(41, 27, 33, 1.00);</v>
      </c>
      <c r="I166" s="48" t="str">
        <f>_xlfn.CONCAT("    .",B159,B166,"{","color: var(--",B159,B166,");","}")</f>
        <v xml:space="preserve">    .b9Darkest{color: var(--b9Darkest);}</v>
      </c>
      <c r="J166" s="48" t="str">
        <f t="shared" ref="J166" si="121">_xlfn.CONCAT("    .",B159,B166,"Bg","{","background-color: var(--",B159,B166,");","}")</f>
        <v xml:space="preserve">    .b9DarkestBg{background-color: var(--b9Darkest);}</v>
      </c>
    </row>
  </sheetData>
  <mergeCells count="1">
    <mergeCell ref="G1:I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Style Palette</vt:lpstr>
      <vt:lpstr>CODE THEME</vt:lpstr>
      <vt:lpstr>CODE THEME (2.0)</vt:lpstr>
      <vt:lpstr>FAR TOC</vt:lpstr>
      <vt:lpstr>Test 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Noorlander</dc:creator>
  <cp:lastModifiedBy>Nathan Noorlander</cp:lastModifiedBy>
  <dcterms:created xsi:type="dcterms:W3CDTF">2023-12-05T19:50:31Z</dcterms:created>
  <dcterms:modified xsi:type="dcterms:W3CDTF">2026-02-13T14:24:48Z</dcterms:modified>
</cp:coreProperties>
</file>